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TH AMERICA" sheetId="1" r:id="rId5"/>
    <sheet state="visible" name="CENTROAMERICA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tc={0dd53e57-e4eb-4ce2-a6e4-2fffe9bd9510}</author>
    <author>tc={1832685e-04d8-4fd6-9fdd-0b6a3e125c27}</author>
    <author>tc={3c68618e-dab6-4486-a721-101acbe1a00c}</author>
    <author>tc={5351f367-8777-4ac1-8886-ea740ea8190d}</author>
    <author>tc={5840afd9-6059-4d30-9a4e-7b00527affe3}</author>
    <author>tc={df0fc6e2-ee0f-4daa-a3d9-08113dbe6556}</author>
    <author>tc={e6037a84-b7cd-4e81-91d9-cea8c728bbe7}</author>
    <author>tc={ea62b956-8511-42c5-94f6-b7e302d2143a}</author>
  </authors>
  <commentList>
    <comment authorId="0" xr:uid="{0dd53e57-e4eb-4ce2-a6e4-2fffe9bd9510}" ref="I2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n/a
</t>
      </text>
    </comment>
    <comment authorId="1" xr:uid="{1832685e-04d8-4fd6-9fdd-0b6a3e125c27}" ref="I3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n/a
</t>
      </text>
    </comment>
    <comment authorId="2" xr:uid="{3c68618e-dab6-4486-a721-101acbe1a00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n/a
</t>
      </text>
    </comment>
    <comment authorId="3" xr:uid="{5351f367-8777-4ac1-8886-ea740ea8190d}" ref="I4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n/a
</t>
      </text>
    </comment>
    <comment authorId="4" xr:uid="{5840afd9-6059-4d30-9a4e-7b00527affe3}" ref="I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hi ha info al WB
</t>
      </text>
    </comment>
    <comment authorId="5" xr:uid="{df0fc6e2-ee0f-4daa-a3d9-08113dbe6556}" ref="I2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n/a
</t>
      </text>
    </comment>
    <comment authorId="6" xr:uid="{e6037a84-b7cd-4e81-91d9-cea8c728bbe7}" ref="I2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hi ha dades al WB
</t>
      </text>
    </comment>
    <comment authorId="7" xr:uid="{ea62b956-8511-42c5-94f6-b7e302d2143a}" ref="I3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n/a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tc={1c617a85-4c98-477a-b470-d2c7b41fd803}</author>
    <author>tc={21004543-e884-4f77-a3e1-a61cede9b0cc}</author>
    <author>tc={319b39de-6797-4a92-bb6d-4a72cd126bd3}</author>
    <author>tc={37bab43c-7ff1-44b8-a17f-59cb8fe7cd70}</author>
    <author>tc={402856c9-3508-4207-9010-512102695bc7}</author>
    <author>tc={583daa39-7e7c-4875-9e8f-545cb43d8101}</author>
    <author>tc={629fe1e2-e12b-46a5-bf71-31cb181d8216}</author>
    <author>tc={82d6ed77-6868-4e7b-ac28-f14733b1ea09}</author>
    <author>tc={8ad5a8b8-4025-40e6-a5a6-20a0eaf51c92}</author>
    <author>tc={a587d043-59b2-4fb9-9bfb-6a42272ac387}</author>
    <author>tc={e49e8ad0-0dea-486e-8923-edb454bd3887}</author>
    <author>tc={f7c4dd04-746b-4d8d-9dd3-c0b20adce83e}</author>
  </authors>
  <commentList>
    <comment authorId="0" xr:uid="{1c617a85-4c98-477a-b470-d2c7b41fd803}" ref="I1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n/a
</t>
      </text>
    </comment>
    <comment authorId="1" xr:uid="{21004543-e884-4f77-a3e1-a61cede9b0cc}" ref="I3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n/a
</t>
      </text>
    </comment>
    <comment authorId="2" xr:uid="{319b39de-6797-4a92-bb6d-4a72cd126bd3}" ref="I2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available
</t>
      </text>
    </comment>
    <comment authorId="3" xr:uid="{37bab43c-7ff1-44b8-a17f-59cb8fe7cd70}" ref="I2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n/a
</t>
      </text>
    </comment>
    <comment authorId="4" xr:uid="{402856c9-3508-4207-9010-512102695bc7}" ref="I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n/a
</t>
      </text>
    </comment>
    <comment authorId="5" xr:uid="{583daa39-7e7c-4875-9e8f-545cb43d8101}" ref="I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n/a
</t>
      </text>
    </comment>
    <comment authorId="6" xr:uid="{629fe1e2-e12b-46a5-bf71-31cb181d8216}" ref="I2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n/a
</t>
      </text>
    </comment>
    <comment authorId="7" xr:uid="{82d6ed77-6868-4e7b-ac28-f14733b1ea09}" ref="I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n/a
</t>
      </text>
    </comment>
    <comment authorId="8" xr:uid="{8ad5a8b8-4025-40e6-a5a6-20a0eaf51c92}" ref="I2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n/a
</t>
      </text>
    </comment>
    <comment authorId="9" xr:uid="{a587d043-59b2-4fb9-9bfb-6a42272ac387}" ref="I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n/a
</t>
      </text>
    </comment>
    <comment authorId="10" xr:uid="{e49e8ad0-0dea-486e-8923-edb454bd3887}" ref="I1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n/a
</t>
      </text>
    </comment>
    <comment authorId="11" xr:uid="{f7c4dd04-746b-4d8d-9dd3-c0b20adce83e}" ref="I2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notavailable
</t>
      </text>
    </comment>
  </commentList>
</comments>
</file>

<file path=xl/sharedStrings.xml><?xml version="1.0" encoding="utf-8"?>
<sst xmlns="http://schemas.openxmlformats.org/spreadsheetml/2006/main" count="1226" uniqueCount="92">
  <si>
    <t>State</t>
  </si>
  <si>
    <t>Variable</t>
  </si>
  <si>
    <t>SCORE VAR</t>
  </si>
  <si>
    <t>% VAR</t>
  </si>
  <si>
    <t>Dimension</t>
  </si>
  <si>
    <t>SCORE DIM</t>
  </si>
  <si>
    <t>% DIM</t>
  </si>
  <si>
    <t>Indicator</t>
  </si>
  <si>
    <t>SCORE IND</t>
  </si>
  <si>
    <t>% IND</t>
  </si>
  <si>
    <t>TOTAL INDEX</t>
  </si>
  <si>
    <t>Argentina</t>
  </si>
  <si>
    <t>Institutional Integrity</t>
  </si>
  <si>
    <t>Rule of Law</t>
  </si>
  <si>
    <t>Equal protection index</t>
  </si>
  <si>
    <t>Rule of law index</t>
  </si>
  <si>
    <t>Civil liberties</t>
  </si>
  <si>
    <t>Access to justice</t>
  </si>
  <si>
    <t>Separation of powers</t>
  </si>
  <si>
    <t>Separations of power</t>
  </si>
  <si>
    <t>High court independence</t>
  </si>
  <si>
    <t>Accountability</t>
  </si>
  <si>
    <t>Control of corruption</t>
  </si>
  <si>
    <t>Corruption perceptions index</t>
  </si>
  <si>
    <t>Diagonal accountability index</t>
  </si>
  <si>
    <t>Transparency</t>
  </si>
  <si>
    <t>Open government index</t>
  </si>
  <si>
    <t>Government censorship effort</t>
  </si>
  <si>
    <t>Socio-economic development</t>
  </si>
  <si>
    <t>Welfare Frameworks</t>
  </si>
  <si>
    <t>Social safety nets</t>
  </si>
  <si>
    <t>Educational equality</t>
  </si>
  <si>
    <t>Health equality</t>
  </si>
  <si>
    <t>Access to public services by socio-economic position</t>
  </si>
  <si>
    <t>Living Standards</t>
  </si>
  <si>
    <t>HDI</t>
  </si>
  <si>
    <t>Infant mortality rate (inverted)</t>
  </si>
  <si>
    <t>Freedom of academic &amp; cultural expression</t>
  </si>
  <si>
    <t>Distribution of Resources</t>
  </si>
  <si>
    <t>Gini Coefficient (inverted)</t>
  </si>
  <si>
    <t>Power distributed by socioeconomic position</t>
  </si>
  <si>
    <t>Poverty headcount ratio (inverted)</t>
  </si>
  <si>
    <t>Responsiveness</t>
  </si>
  <si>
    <t>Discourse</t>
  </si>
  <si>
    <t>Deliberative component index</t>
  </si>
  <si>
    <t>Reasoned justification</t>
  </si>
  <si>
    <t>Policies and legitimacy</t>
  </si>
  <si>
    <t>Steering Capability</t>
  </si>
  <si>
    <t>Approval of democracy</t>
  </si>
  <si>
    <t>Electoral Integrity</t>
  </si>
  <si>
    <t>Free and fair elections</t>
  </si>
  <si>
    <t>Clean elections index</t>
  </si>
  <si>
    <t>Election free and fair</t>
  </si>
  <si>
    <t>Opposition parties autonomy</t>
  </si>
  <si>
    <t>Share of population with suffrage</t>
  </si>
  <si>
    <t>Peaceful transition of power</t>
  </si>
  <si>
    <t>Election other electoral violence</t>
  </si>
  <si>
    <t>Election losers accept results</t>
  </si>
  <si>
    <t>Election government intimidation</t>
  </si>
  <si>
    <t>Democratic memory</t>
  </si>
  <si>
    <t>Reparations</t>
  </si>
  <si>
    <t>Truth commission</t>
  </si>
  <si>
    <t>Reparatory policies</t>
  </si>
  <si>
    <t>Legal</t>
  </si>
  <si>
    <t>Amnesty law</t>
  </si>
  <si>
    <t>Domestic trials</t>
  </si>
  <si>
    <t>Bolivia</t>
  </si>
  <si>
    <t xml:space="preserve">Access to public services by socio-economic position </t>
  </si>
  <si>
    <t xml:space="preserve">Gini Coefficient (inverted) </t>
  </si>
  <si>
    <t xml:space="preserve">Poverty headcount ratio (inverted) </t>
  </si>
  <si>
    <t>Brasil</t>
  </si>
  <si>
    <t>Chile</t>
  </si>
  <si>
    <t>Colombia</t>
  </si>
  <si>
    <t>Ecuador</t>
  </si>
  <si>
    <t>Guyana</t>
  </si>
  <si>
    <t>Paraguay</t>
  </si>
  <si>
    <t>Perú</t>
  </si>
  <si>
    <t>Suriname</t>
  </si>
  <si>
    <t xml:space="preserve">HDI </t>
  </si>
  <si>
    <t>Uruguay</t>
  </si>
  <si>
    <t>Venezuela</t>
  </si>
  <si>
    <t>Costa Rica</t>
  </si>
  <si>
    <t>Separations of powers</t>
  </si>
  <si>
    <t>Cuba</t>
  </si>
  <si>
    <t>Dominican Republic</t>
  </si>
  <si>
    <t>El Salvador</t>
  </si>
  <si>
    <t>Guatemala</t>
  </si>
  <si>
    <t>Haiti</t>
  </si>
  <si>
    <t>Honduras</t>
  </si>
  <si>
    <t>Mexico</t>
  </si>
  <si>
    <t>Nicaragua</t>
  </si>
  <si>
    <t>Panama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</si>
</sst>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5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b/>
      <sz val="11.0"/>
      <color rgb="FF000000"/>
      <name val="Arial"/>
      <scheme val="minor"/>
    </font>
    <font>
      <b/>
      <color rgb="FF000000"/>
      <name val="Arial"/>
      <scheme val="minor"/>
    </font>
    <font>
      <sz val="11.0"/>
      <color rgb="FF000000"/>
      <name val="Arial"/>
      <scheme val="minor"/>
    </font>
    <font>
      <color rgb="FF000000"/>
      <name val="Arial"/>
      <scheme val="minor"/>
    </font>
    <font/>
    <font>
      <sz val="11.0"/>
      <color theme="1"/>
      <name val="Arial"/>
      <scheme val="minor"/>
    </font>
    <font>
      <sz val="10.0"/>
      <color theme="1"/>
      <name val="Arial"/>
      <scheme val="minor"/>
    </font>
    <font>
      <sz val="10.0"/>
      <color theme="1"/>
      <name val="Arial"/>
    </font>
    <font>
      <b/>
      <sz val="10.0"/>
      <color rgb="FF000000"/>
      <name val="Arial"/>
    </font>
    <font>
      <b/>
      <color theme="1"/>
      <name val="Arial"/>
      <scheme val="minor"/>
    </font>
    <font>
      <sz val="10.0"/>
      <color rgb="FF000000"/>
      <name val="Arial"/>
    </font>
    <font>
      <color theme="1"/>
      <name val="Arial"/>
      <scheme val="minor"/>
    </font>
    <font>
      <sz val="8.0"/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7FFC5"/>
        <bgColor rgb="FFD7FFC5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D49E"/>
        <bgColor rgb="FFFFD49E"/>
      </patternFill>
    </fill>
    <fill>
      <patternFill patternType="solid">
        <fgColor rgb="FFEA9999"/>
        <bgColor rgb="FFEA9999"/>
      </patternFill>
    </fill>
    <fill>
      <patternFill patternType="solid">
        <fgColor rgb="FFECBAFF"/>
        <bgColor rgb="FFECBA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1" fillId="2" fontId="0" numFmtId="0" xfId="0" applyAlignment="1" applyBorder="1" applyFill="1" applyFont="1">
      <alignment horizontal="center" readingOrder="0" vertical="center"/>
    </xf>
    <xf borderId="1" fillId="2" fontId="0" numFmtId="9" xfId="0" applyAlignment="1" applyBorder="1" applyFont="1" applyNumberFormat="1">
      <alignment horizontal="center" readingOrder="0" vertical="center"/>
    </xf>
    <xf borderId="2" fillId="2" fontId="0" numFmtId="0" xfId="0" applyAlignment="1" applyBorder="1" applyFont="1">
      <alignment horizontal="left" readingOrder="0" shrinkToFit="0" vertical="center" wrapText="1"/>
    </xf>
    <xf borderId="2" fillId="2" fontId="4" numFmtId="0" xfId="0" applyAlignment="1" applyBorder="1" applyFont="1">
      <alignment horizontal="center" readingOrder="0" vertical="center"/>
    </xf>
    <xf borderId="2" fillId="2" fontId="0" numFmtId="9" xfId="0" applyAlignment="1" applyBorder="1" applyFont="1" applyNumberFormat="1">
      <alignment horizontal="center" readingOrder="0" vertical="center"/>
    </xf>
    <xf borderId="1" fillId="3" fontId="1" numFmtId="9" xfId="0" applyAlignment="1" applyBorder="1" applyFill="1" applyFont="1" applyNumberFormat="1">
      <alignment horizontal="center" readingOrder="0" vertical="center"/>
    </xf>
    <xf borderId="0" fillId="0" fontId="5" numFmtId="0" xfId="0" applyAlignment="1" applyFont="1">
      <alignment readingOrder="0"/>
    </xf>
    <xf borderId="3" fillId="0" fontId="6" numFmtId="0" xfId="0" applyBorder="1" applyFont="1"/>
    <xf borderId="2" fillId="2" fontId="4" numFmtId="2" xfId="0" applyAlignment="1" applyBorder="1" applyFont="1" applyNumberFormat="1">
      <alignment horizontal="center" readingOrder="0" vertical="center"/>
    </xf>
    <xf borderId="4" fillId="0" fontId="6" numFmtId="0" xfId="0" applyBorder="1" applyFont="1"/>
    <xf borderId="2" fillId="2" fontId="4" numFmtId="0" xfId="0" applyAlignment="1" applyBorder="1" applyFont="1">
      <alignment horizontal="left" readingOrder="0" shrinkToFit="0" vertical="center" wrapText="1"/>
    </xf>
    <xf borderId="2" fillId="2" fontId="4" numFmtId="9" xfId="0" applyAlignment="1" applyBorder="1" applyFont="1" applyNumberFormat="1">
      <alignment horizontal="center" readingOrder="0" vertical="center"/>
    </xf>
    <xf borderId="1" fillId="4" fontId="0" numFmtId="0" xfId="0" applyAlignment="1" applyBorder="1" applyFill="1" applyFont="1">
      <alignment horizontal="center" readingOrder="0" vertical="center"/>
    </xf>
    <xf borderId="1" fillId="4" fontId="0" numFmtId="9" xfId="0" applyAlignment="1" applyBorder="1" applyFont="1" applyNumberFormat="1">
      <alignment horizontal="center" readingOrder="0" vertical="center"/>
    </xf>
    <xf borderId="1" fillId="4" fontId="7" numFmtId="0" xfId="0" applyAlignment="1" applyBorder="1" applyFont="1">
      <alignment horizontal="center" readingOrder="0" vertical="center"/>
    </xf>
    <xf borderId="2" fillId="4" fontId="0" numFmtId="0" xfId="0" applyAlignment="1" applyBorder="1" applyFont="1">
      <alignment horizontal="left" readingOrder="0" shrinkToFit="0" vertical="center" wrapText="1"/>
    </xf>
    <xf borderId="2" fillId="4" fontId="4" numFmtId="0" xfId="0" applyAlignment="1" applyBorder="1" applyFont="1">
      <alignment horizontal="center" readingOrder="0" vertical="center"/>
    </xf>
    <xf borderId="2" fillId="4" fontId="0" numFmtId="9" xfId="0" applyAlignment="1" applyBorder="1" applyFont="1" applyNumberFormat="1">
      <alignment horizontal="center" readingOrder="0" vertical="center"/>
    </xf>
    <xf borderId="2" fillId="4" fontId="4" numFmtId="2" xfId="0" applyAlignment="1" applyBorder="1" applyFont="1" applyNumberFormat="1">
      <alignment horizontal="center" readingOrder="0" vertical="center"/>
    </xf>
    <xf borderId="1" fillId="4" fontId="8" numFmtId="0" xfId="0" applyAlignment="1" applyBorder="1" applyFont="1">
      <alignment horizontal="center" readingOrder="0" vertical="center"/>
    </xf>
    <xf borderId="1" fillId="4" fontId="0" numFmtId="0" xfId="0" applyAlignment="1" applyBorder="1" applyFont="1">
      <alignment horizontal="left" readingOrder="0" shrinkToFit="0" vertical="center" wrapText="1"/>
    </xf>
    <xf borderId="1" fillId="4" fontId="4" numFmtId="2" xfId="0" applyAlignment="1" applyBorder="1" applyFont="1" applyNumberFormat="1">
      <alignment horizontal="center" readingOrder="0" vertical="center"/>
    </xf>
    <xf borderId="1" fillId="5" fontId="0" numFmtId="0" xfId="0" applyAlignment="1" applyBorder="1" applyFill="1" applyFont="1">
      <alignment horizontal="center" readingOrder="0" vertical="center"/>
    </xf>
    <xf borderId="1" fillId="5" fontId="0" numFmtId="9" xfId="0" applyAlignment="1" applyBorder="1" applyFont="1" applyNumberFormat="1">
      <alignment horizontal="center" readingOrder="0" vertical="center"/>
    </xf>
    <xf borderId="1" fillId="5" fontId="8" numFmtId="0" xfId="0" applyAlignment="1" applyBorder="1" applyFont="1">
      <alignment horizontal="center" readingOrder="0" vertical="center"/>
    </xf>
    <xf borderId="2" fillId="5" fontId="0" numFmtId="0" xfId="0" applyAlignment="1" applyBorder="1" applyFont="1">
      <alignment horizontal="left" readingOrder="0" shrinkToFit="0" vertical="center" wrapText="1"/>
    </xf>
    <xf borderId="2" fillId="5" fontId="0" numFmtId="0" xfId="0" applyAlignment="1" applyBorder="1" applyFont="1">
      <alignment horizontal="center" readingOrder="0" vertical="center"/>
    </xf>
    <xf borderId="2" fillId="5" fontId="0" numFmtId="9" xfId="0" applyAlignment="1" applyBorder="1" applyFont="1" applyNumberFormat="1">
      <alignment horizontal="center" readingOrder="0" vertical="center"/>
    </xf>
    <xf borderId="2" fillId="5" fontId="0" numFmtId="2" xfId="0" applyAlignment="1" applyBorder="1" applyFont="1" applyNumberFormat="1">
      <alignment horizontal="center" readingOrder="0" vertical="center"/>
    </xf>
    <xf borderId="1" fillId="6" fontId="0" numFmtId="0" xfId="0" applyAlignment="1" applyBorder="1" applyFill="1" applyFont="1">
      <alignment horizontal="center" readingOrder="0" vertical="center"/>
    </xf>
    <xf borderId="1" fillId="6" fontId="0" numFmtId="9" xfId="0" applyAlignment="1" applyBorder="1" applyFont="1" applyNumberFormat="1">
      <alignment horizontal="center" readingOrder="0" vertical="center"/>
    </xf>
    <xf borderId="1" fillId="6" fontId="8" numFmtId="0" xfId="0" applyAlignment="1" applyBorder="1" applyFont="1">
      <alignment horizontal="center" readingOrder="0" vertical="center"/>
    </xf>
    <xf borderId="2" fillId="6" fontId="0" numFmtId="0" xfId="0" applyAlignment="1" applyBorder="1" applyFont="1">
      <alignment horizontal="left" readingOrder="0" shrinkToFit="0" vertical="center" wrapText="1"/>
    </xf>
    <xf borderId="2" fillId="6" fontId="0" numFmtId="0" xfId="0" applyAlignment="1" applyBorder="1" applyFont="1">
      <alignment horizontal="center" readingOrder="0" vertical="center"/>
    </xf>
    <xf borderId="2" fillId="6" fontId="0" numFmtId="9" xfId="0" applyAlignment="1" applyBorder="1" applyFont="1" applyNumberFormat="1">
      <alignment horizontal="center" readingOrder="0" vertical="center"/>
    </xf>
    <xf borderId="2" fillId="6" fontId="0" numFmtId="2" xfId="0" applyAlignment="1" applyBorder="1" applyFont="1" applyNumberFormat="1">
      <alignment horizontal="center" readingOrder="0" vertical="center"/>
    </xf>
    <xf borderId="1" fillId="7" fontId="0" numFmtId="0" xfId="0" applyAlignment="1" applyBorder="1" applyFill="1" applyFont="1">
      <alignment horizontal="center" readingOrder="0" vertical="center"/>
    </xf>
    <xf borderId="1" fillId="7" fontId="0" numFmtId="9" xfId="0" applyAlignment="1" applyBorder="1" applyFont="1" applyNumberFormat="1">
      <alignment horizontal="center" readingOrder="0" vertical="center"/>
    </xf>
    <xf borderId="2" fillId="7" fontId="0" numFmtId="0" xfId="0" applyAlignment="1" applyBorder="1" applyFont="1">
      <alignment horizontal="left" readingOrder="0" shrinkToFit="0" vertical="center" wrapText="1"/>
    </xf>
    <xf borderId="2" fillId="7" fontId="0" numFmtId="0" xfId="0" applyAlignment="1" applyBorder="1" applyFont="1">
      <alignment horizontal="center" readingOrder="0" vertical="center"/>
    </xf>
    <xf borderId="2" fillId="7" fontId="0" numFmtId="9" xfId="0" applyAlignment="1" applyBorder="1" applyFont="1" applyNumberFormat="1">
      <alignment horizontal="center" readingOrder="0" vertical="center"/>
    </xf>
    <xf borderId="2" fillId="7" fontId="9" numFmtId="9" xfId="0" applyAlignment="1" applyBorder="1" applyFont="1" applyNumberFormat="1">
      <alignment horizontal="center" vertical="center"/>
    </xf>
    <xf borderId="0" fillId="0" fontId="10" numFmtId="0" xfId="0" applyAlignment="1" applyFont="1">
      <alignment readingOrder="0" shrinkToFit="0" wrapText="1"/>
    </xf>
    <xf borderId="1" fillId="0" fontId="2" numFmtId="0" xfId="0" applyAlignment="1" applyBorder="1" applyFont="1">
      <alignment horizontal="center" readingOrder="0" vertical="center"/>
    </xf>
    <xf borderId="0" fillId="0" fontId="8" numFmtId="0" xfId="0" applyFont="1"/>
    <xf borderId="2" fillId="7" fontId="0" numFmtId="2" xfId="0" applyAlignment="1" applyBorder="1" applyFont="1" applyNumberFormat="1">
      <alignment horizontal="center" readingOrder="0" vertical="center"/>
    </xf>
    <xf borderId="0" fillId="0" fontId="11" numFmtId="0" xfId="0" applyFont="1"/>
    <xf borderId="0" fillId="0" fontId="12" numFmtId="0" xfId="0" applyAlignment="1" applyFont="1">
      <alignment readingOrder="0" shrinkToFit="0" wrapText="1"/>
    </xf>
    <xf borderId="1" fillId="4" fontId="4" numFmtId="0" xfId="0" applyAlignment="1" applyBorder="1" applyFont="1">
      <alignment horizontal="center" readingOrder="0" vertical="center"/>
    </xf>
    <xf borderId="1" fillId="2" fontId="0" numFmtId="0" xfId="0" applyAlignment="1" applyBorder="1" applyFont="1">
      <alignment horizontal="left" readingOrder="0" shrinkToFit="0" vertical="center" wrapText="1"/>
    </xf>
    <xf borderId="1" fillId="2" fontId="4" numFmtId="2" xfId="0" applyAlignment="1" applyBorder="1" applyFont="1" applyNumberFormat="1">
      <alignment horizontal="center" readingOrder="0" vertical="center"/>
    </xf>
    <xf borderId="2" fillId="2" fontId="4" numFmtId="164" xfId="0" applyAlignment="1" applyBorder="1" applyFont="1" applyNumberFormat="1">
      <alignment horizontal="center" readingOrder="0" vertical="center"/>
    </xf>
    <xf borderId="2" fillId="4" fontId="4" numFmtId="164" xfId="0" applyAlignment="1" applyBorder="1" applyFont="1" applyNumberFormat="1">
      <alignment horizontal="center" readingOrder="0" vertical="center"/>
    </xf>
    <xf borderId="2" fillId="5" fontId="0" numFmtId="164" xfId="0" applyAlignment="1" applyBorder="1" applyFont="1" applyNumberFormat="1">
      <alignment horizontal="center" readingOrder="0" vertical="center"/>
    </xf>
    <xf borderId="2" fillId="6" fontId="0" numFmtId="164" xfId="0" applyAlignment="1" applyBorder="1" applyFont="1" applyNumberFormat="1">
      <alignment horizontal="center" readingOrder="0" vertical="center"/>
    </xf>
    <xf borderId="0" fillId="0" fontId="13" numFmtId="0" xfId="0" applyAlignment="1" applyFont="1">
      <alignment horizontal="left" shrinkToFit="0" wrapText="1"/>
    </xf>
    <xf borderId="0" fillId="0" fontId="1" numFmtId="0" xfId="0" applyAlignment="1" applyFont="1">
      <alignment horizontal="center" readingOrder="0" shrinkToFit="0" vertical="center" wrapText="1"/>
    </xf>
    <xf borderId="1" fillId="2" fontId="0" numFmtId="0" xfId="0" applyAlignment="1" applyBorder="1" applyFont="1">
      <alignment horizontal="center" readingOrder="0" shrinkToFit="0" vertical="center" wrapText="1"/>
    </xf>
    <xf borderId="1" fillId="4" fontId="0" numFmtId="0" xfId="0" applyAlignment="1" applyBorder="1" applyFont="1">
      <alignment horizontal="center" readingOrder="0" shrinkToFit="0" vertical="center" wrapText="1"/>
    </xf>
    <xf borderId="1" fillId="5" fontId="0" numFmtId="0" xfId="0" applyAlignment="1" applyBorder="1" applyFont="1">
      <alignment horizontal="center" readingOrder="0" shrinkToFit="0" vertical="center" wrapText="1"/>
    </xf>
    <xf borderId="1" fillId="6" fontId="0" numFmtId="0" xfId="0" applyAlignment="1" applyBorder="1" applyFont="1">
      <alignment horizontal="center" readingOrder="0" shrinkToFit="0" vertical="center" wrapText="1"/>
    </xf>
    <xf borderId="1" fillId="7" fontId="0" numFmtId="0" xfId="0" applyAlignment="1" applyBorder="1" applyFont="1">
      <alignment horizontal="center" readingOrder="0" shrinkToFit="0" vertical="center" wrapText="1"/>
    </xf>
    <xf borderId="2" fillId="7" fontId="4" numFmtId="0" xfId="0" applyAlignment="1" applyBorder="1" applyFont="1">
      <alignment horizontal="center" readingOrder="0" vertical="center"/>
    </xf>
    <xf borderId="0" fillId="0" fontId="13" numFmtId="0" xfId="0" applyAlignment="1" applyFont="1">
      <alignment shrinkToFit="0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5" fontId="0" numFmtId="0" xfId="0" applyAlignment="1" applyBorder="1" applyFont="1">
      <alignment horizontal="left" readingOrder="0" shrinkToFit="0" vertical="center" wrapText="1"/>
    </xf>
    <xf borderId="1" fillId="6" fontId="0" numFmtId="0" xfId="0" applyAlignment="1" applyBorder="1" applyFont="1">
      <alignment horizontal="left" readingOrder="0" shrinkToFit="0" vertical="center" wrapText="1"/>
    </xf>
    <xf borderId="1" fillId="4" fontId="14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'SOUTH AMERICA'!$K$1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'SOUTH AMERICA'!$A$2:$A$1061</c:f>
            </c:strRef>
          </c:cat>
          <c:val>
            <c:numRef>
              <c:f>'SOUTH AMERICA'!$K$2:$K$1061</c:f>
              <c:numCache/>
            </c:numRef>
          </c:val>
        </c:ser>
        <c:ser>
          <c:idx val="1"/>
          <c:order val="1"/>
          <c:tx>
            <c:strRef>
              <c:f>'SOUTH AMERICA'!$A$1</c:f>
            </c:strRef>
          </c:tx>
          <c:cat>
            <c:strRef>
              <c:f>'SOUTH AMERICA'!$A$2:$A$1061</c:f>
            </c:strRef>
          </c:cat>
          <c:val>
            <c:numRef>
              <c:f>'SOUTH AMERICA'!$A$2:$A$1061</c:f>
              <c:numCache/>
            </c:numRef>
          </c:val>
        </c:ser>
        <c:axId val="1220275267"/>
        <c:axId val="1333601652"/>
      </c:barChart>
      <c:catAx>
        <c:axId val="12202752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3601652"/>
      </c:catAx>
      <c:valAx>
        <c:axId val="13336016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02752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CENTROAMERICA!$K$1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CENTROAMERICA!$A$2:$A$962</c:f>
            </c:strRef>
          </c:cat>
          <c:val>
            <c:numRef>
              <c:f>CENTROAMERICA!$K$2:$K$962</c:f>
              <c:numCache/>
            </c:numRef>
          </c:val>
        </c:ser>
        <c:ser>
          <c:idx val="1"/>
          <c:order val="1"/>
          <c:tx>
            <c:strRef>
              <c:f>CENTROAMERICA!$A$1</c:f>
            </c:strRef>
          </c:tx>
          <c:cat>
            <c:strRef>
              <c:f>CENTROAMERICA!$A$2:$A$962</c:f>
            </c:strRef>
          </c:cat>
          <c:val>
            <c:numRef>
              <c:f>CENTROAMERICA!$A$2:$A$962</c:f>
              <c:numCache/>
            </c:numRef>
          </c:val>
        </c:ser>
        <c:axId val="1233030467"/>
        <c:axId val="1950501557"/>
      </c:barChart>
      <c:catAx>
        <c:axId val="12330304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0501557"/>
      </c:catAx>
      <c:valAx>
        <c:axId val="19505015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30304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val>
            <c:numRef>
              <c:f>CENTROAMERICA!$O$20</c:f>
              <c:numCache/>
            </c:numRef>
          </c:val>
        </c:ser>
        <c:axId val="1969812328"/>
        <c:axId val="1569116844"/>
      </c:barChart>
      <c:catAx>
        <c:axId val="1969812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9116844"/>
      </c:catAx>
      <c:valAx>
        <c:axId val="156911684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9698123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904875</xdr:colOff>
      <xdr:row>39</xdr:row>
      <xdr:rowOff>28575</xdr:rowOff>
    </xdr:from>
    <xdr:ext cx="5715000" cy="3533775"/>
    <xdr:graphicFrame>
      <xdr:nvGraphicFramePr>
        <xdr:cNvPr id="1" name="Chart 1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771525</xdr:colOff>
      <xdr:row>7</xdr:row>
      <xdr:rowOff>47625</xdr:rowOff>
    </xdr:from>
    <xdr:ext cx="5715000" cy="3533775"/>
    <xdr:graphicFrame>
      <xdr:nvGraphicFramePr>
        <xdr:cNvPr id="2" name="Chart 2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504825</xdr:colOff>
      <xdr:row>68</xdr:row>
      <xdr:rowOff>57150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Ariadna Bertran i Celaya" id="{c47a4ff3-eb60-4f69-bccc-eb5bc4d08067}" providerId="google-sheets"/>
  <x18tc:person displayName="Roser" id="{d57fe9fb-c744-4322-9c8e-9f25704e345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258" dT="2026-04-18T19:17:24.00" personId="{c47a4ff3-eb60-4f69-bccc-eb5bc4d08067}" id="{e6037a84-b7cd-4e81-91d9-cea8c728bbe7}" done="1">
    <x18tc:text xml:space="preserve">no hi ha dades al WB</x18tc:text>
  </x18tc:threadedComment>
  <x18tc:threadedComment ref="I262" dT="2026-04-18T20:43:48.00" personId="{d57fe9fb-c744-4322-9c8e-9f25704e3457}" id="{df0fc6e2-ee0f-4daa-a3d9-08113dbe6556}" done="1">
    <x18tc:text xml:space="preserve">n/a</x18tc:text>
  </x18tc:threadedComment>
  <x18tc:threadedComment ref="I379" dT="2026-04-18T20:44:28.00" personId="{d57fe9fb-c744-4322-9c8e-9f25704e3457}" id="{ea62b956-8511-42c5-94f6-b7e302d2143a}" done="1">
    <x18tc:text xml:space="preserve">n/a</x18tc:text>
  </x18tc:threadedComment>
  <x18tc:threadedComment ref="I358" dT="2026-04-19T13:51:11.00" personId="{d57fe9fb-c744-4322-9c8e-9f25704e3457}" id="{1832685e-04d8-4fd6-9fdd-0b6a3e125c27}" done="1">
    <x18tc:text xml:space="preserve">n/a</x18tc:text>
  </x18tc:threadedComment>
  <x18tc:threadedComment ref="I457" dT="2026-04-18T20:44:49.00" personId="{d57fe9fb-c744-4322-9c8e-9f25704e3457}" id="{5351f367-8777-4ac1-8886-ea740ea8190d}" done="1">
    <x18tc:text xml:space="preserve">n/a</x18tc:text>
  </x18tc:threadedComment>
  <x18tc:threadedComment ref="I241" dT="2026-04-19T13:50:08.00" personId="{d57fe9fb-c744-4322-9c8e-9f25704e3457}" id="{0dd53e57-e4eb-4ce2-a6e4-2fffe9bd9510}" done="1">
    <x18tc:text xml:space="preserve">n/a</x18tc:text>
  </x18tc:threadedComment>
  <x18tc:threadedComment ref="A1" dT="2026-04-19T13:50:44.00" personId="{d57fe9fb-c744-4322-9c8e-9f25704e3457}" id="{3c68618e-dab6-4486-a721-101acbe1a00c}" done="0">
    <x18tc:text xml:space="preserve">n/a</x18tc:text>
  </x18tc:threadedComment>
  <x18tc:threadedComment ref="I102" dT="2026-04-18T19:14:13.00" personId="{c47a4ff3-eb60-4f69-bccc-eb5bc4d08067}" id="{5840afd9-6059-4d30-9a4e-7b00527affe3}" done="1">
    <x18tc:text xml:space="preserve">no hi ha info al WB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65" dT="2026-04-19T14:01:38.00" personId="{d57fe9fb-c744-4322-9c8e-9f25704e3457}" id="{583daa39-7e7c-4875-9e8f-545cb43d8101}" done="1">
    <x18tc:text xml:space="preserve">n/a</x18tc:text>
  </x18tc:threadedComment>
  <x18tc:threadedComment ref="I217" dT="2026-04-19T14:01:10.00" personId="{d57fe9fb-c744-4322-9c8e-9f25704e3457}" id="{8ad5a8b8-4025-40e6-a5a6-20a0eaf51c92}" done="1">
    <x18tc:text xml:space="preserve">n/a</x18tc:text>
  </x18tc:threadedComment>
  <x18tc:threadedComment ref="I222" dT="2026-04-19T12:32:03.00" personId="{d57fe9fb-c744-4322-9c8e-9f25704e3457}" id="{319b39de-6797-4a92-bb6d-4a72cd126bd3}" done="1">
    <x18tc:text xml:space="preserve">not available</x18tc:text>
  </x18tc:threadedComment>
  <x18tc:threadedComment ref="I179" dT="2026-04-19T14:01:04.00" personId="{d57fe9fb-c744-4322-9c8e-9f25704e3457}" id="{e49e8ad0-0dea-486e-8923-edb454bd3887}" done="1">
    <x18tc:text xml:space="preserve">n/a</x18tc:text>
  </x18tc:threadedComment>
  <x18tc:threadedComment ref="I219" dT="2026-04-19T12:32:09.00" personId="{d57fe9fb-c744-4322-9c8e-9f25704e3457}" id="{629fe1e2-e12b-46a5-bf71-31cb181d8216}" done="1">
    <x18tc:text xml:space="preserve">n/a</x18tc:text>
  </x18tc:threadedComment>
  <x18tc:threadedComment ref="I141" dT="2026-04-19T14:00:55.00" personId="{d57fe9fb-c744-4322-9c8e-9f25704e3457}" id="{1c617a85-4c98-477a-b470-d2c7b41fd803}" done="1">
    <x18tc:text xml:space="preserve">n/a</x18tc:text>
  </x18tc:threadedComment>
  <x18tc:threadedComment ref="I61" dT="2026-04-19T15:10:14.00" personId="{d57fe9fb-c744-4322-9c8e-9f25704e3457}" id="{402856c9-3508-4207-9010-512102695bc7}" done="1">
    <x18tc:text xml:space="preserve">n/a</x18tc:text>
  </x18tc:threadedComment>
  <x18tc:threadedComment ref="I223" dT="2026-04-19T12:34:30.00" personId="{d57fe9fb-c744-4322-9c8e-9f25704e3457}" id="{f7c4dd04-746b-4d8d-9dd3-c0b20adce83e}" done="1">
    <x18tc:text xml:space="preserve">notavailable</x18tc:text>
  </x18tc:threadedComment>
  <x18tc:threadedComment ref="I331" dT="2026-04-19T14:00:16.00" personId="{d57fe9fb-c744-4322-9c8e-9f25704e3457}" id="{21004543-e884-4f77-a3e1-a61cede9b0cc}" done="1">
    <x18tc:text xml:space="preserve">n/a</x18tc:text>
  </x18tc:threadedComment>
  <x18tc:threadedComment ref="I59" dT="2026-04-19T15:01:09.00" personId="{d57fe9fb-c744-4322-9c8e-9f25704e3457}" id="{82d6ed77-6868-4e7b-ac28-f14733b1ea09}" done="1">
    <x18tc:text xml:space="preserve">n/a</x18tc:text>
  </x18tc:threadedComment>
  <x18tc:threadedComment ref="I224" dT="2026-04-19T12:36:54.00" personId="{d57fe9fb-c744-4322-9c8e-9f25704e3457}" id="{37bab43c-7ff1-44b8-a17f-59cb8fe7cd70}" done="1">
    <x18tc:text xml:space="preserve">n/a</x18tc:text>
  </x18tc:threadedComment>
  <x18tc:threadedComment ref="I49" dT="2026-04-19T14:25:22.00" personId="{d57fe9fb-c744-4322-9c8e-9f25704e3457}" id="{a587d043-59b2-4fb9-9bfb-6a42272ac387}" done="1">
    <x18tc:text xml:space="preserve">n/a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25"/>
    <col customWidth="1" min="5" max="5" width="23.5"/>
    <col customWidth="1" min="8" max="8" width="27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2" t="s">
        <v>8</v>
      </c>
      <c r="J1" s="1" t="s">
        <v>9</v>
      </c>
      <c r="K1" s="1" t="s">
        <v>10</v>
      </c>
      <c r="L1" s="4"/>
      <c r="M1" s="4"/>
    </row>
    <row r="2">
      <c r="A2" s="5" t="s">
        <v>11</v>
      </c>
      <c r="B2" s="6" t="s">
        <v>12</v>
      </c>
      <c r="C2" s="7">
        <f>(G2*F2)+(G6*F6)+(G8*F8)+(G11*F11)</f>
        <v>0.585603</v>
      </c>
      <c r="D2" s="7">
        <v>0.3</v>
      </c>
      <c r="E2" s="6" t="s">
        <v>13</v>
      </c>
      <c r="F2" s="7">
        <f>(J2*I2)+(J3*I3)+(J4*I4)+(J5*I5)</f>
        <v>0.6461</v>
      </c>
      <c r="G2" s="7">
        <v>0.3</v>
      </c>
      <c r="H2" s="8" t="s">
        <v>14</v>
      </c>
      <c r="I2" s="9">
        <v>0.62</v>
      </c>
      <c r="J2" s="10">
        <v>0.15</v>
      </c>
      <c r="K2" s="11">
        <f>(C2*D2)+(C13*D13)+(C24*D24)+(C28*D28)+(C35*D35)</f>
        <v>0.69128715</v>
      </c>
      <c r="L2" s="12"/>
      <c r="M2" s="12"/>
    </row>
    <row r="3">
      <c r="A3" s="13"/>
      <c r="B3" s="13"/>
      <c r="C3" s="13"/>
      <c r="D3" s="13"/>
      <c r="E3" s="13"/>
      <c r="F3" s="13"/>
      <c r="G3" s="13"/>
      <c r="H3" s="8" t="s">
        <v>15</v>
      </c>
      <c r="I3" s="9">
        <v>0.58</v>
      </c>
      <c r="J3" s="10">
        <v>0.5</v>
      </c>
      <c r="K3" s="13"/>
      <c r="L3" s="12"/>
      <c r="M3" s="12"/>
    </row>
    <row r="4">
      <c r="A4" s="13"/>
      <c r="B4" s="13"/>
      <c r="C4" s="13"/>
      <c r="D4" s="13"/>
      <c r="E4" s="13"/>
      <c r="F4" s="13"/>
      <c r="G4" s="13"/>
      <c r="H4" s="8" t="s">
        <v>16</v>
      </c>
      <c r="I4" s="14">
        <f>7.94/10</f>
        <v>0.794</v>
      </c>
      <c r="J4" s="10">
        <v>0.15</v>
      </c>
      <c r="K4" s="13"/>
      <c r="L4" s="12"/>
      <c r="M4" s="12"/>
    </row>
    <row r="5">
      <c r="A5" s="13"/>
      <c r="B5" s="13"/>
      <c r="C5" s="13"/>
      <c r="D5" s="13"/>
      <c r="E5" s="15"/>
      <c r="F5" s="15"/>
      <c r="G5" s="15"/>
      <c r="H5" s="8" t="s">
        <v>17</v>
      </c>
      <c r="I5" s="9">
        <v>0.72</v>
      </c>
      <c r="J5" s="10">
        <v>0.2</v>
      </c>
      <c r="K5" s="13"/>
      <c r="L5" s="12"/>
      <c r="M5" s="12"/>
    </row>
    <row r="6">
      <c r="A6" s="13"/>
      <c r="B6" s="13"/>
      <c r="C6" s="13"/>
      <c r="D6" s="13"/>
      <c r="E6" s="6" t="s">
        <v>18</v>
      </c>
      <c r="F6" s="7">
        <f>(J6*I6)+(I7*J7)</f>
        <v>0.585</v>
      </c>
      <c r="G6" s="7">
        <v>0.25</v>
      </c>
      <c r="H6" s="8" t="s">
        <v>19</v>
      </c>
      <c r="I6" s="9">
        <v>0.6</v>
      </c>
      <c r="J6" s="10">
        <v>0.7</v>
      </c>
      <c r="K6" s="13"/>
      <c r="L6" s="12"/>
      <c r="M6" s="12"/>
    </row>
    <row r="7">
      <c r="A7" s="13"/>
      <c r="B7" s="13"/>
      <c r="C7" s="13"/>
      <c r="D7" s="13"/>
      <c r="E7" s="15"/>
      <c r="F7" s="15"/>
      <c r="G7" s="15"/>
      <c r="H7" s="8" t="s">
        <v>20</v>
      </c>
      <c r="I7" s="9">
        <f>2.2/4</f>
        <v>0.55</v>
      </c>
      <c r="J7" s="10">
        <v>0.3</v>
      </c>
      <c r="K7" s="13"/>
      <c r="L7" s="12"/>
      <c r="M7" s="12"/>
    </row>
    <row r="8">
      <c r="A8" s="13"/>
      <c r="B8" s="13"/>
      <c r="C8" s="13"/>
      <c r="D8" s="13"/>
      <c r="E8" s="6" t="s">
        <v>21</v>
      </c>
      <c r="F8" s="7">
        <f>(J8*I8)+(I9*J9)+(I10*J10)</f>
        <v>0.51491</v>
      </c>
      <c r="G8" s="7">
        <v>0.3</v>
      </c>
      <c r="H8" s="8" t="s">
        <v>22</v>
      </c>
      <c r="I8" s="14">
        <f>41.26/100</f>
        <v>0.4126</v>
      </c>
      <c r="J8" s="10">
        <v>0.35</v>
      </c>
      <c r="K8" s="13"/>
      <c r="L8" s="12"/>
      <c r="M8" s="12"/>
    </row>
    <row r="9">
      <c r="A9" s="13"/>
      <c r="B9" s="13"/>
      <c r="C9" s="13"/>
      <c r="D9" s="13"/>
      <c r="E9" s="13"/>
      <c r="F9" s="13"/>
      <c r="G9" s="13"/>
      <c r="H9" s="8" t="s">
        <v>23</v>
      </c>
      <c r="I9" s="9">
        <f>36/100</f>
        <v>0.36</v>
      </c>
      <c r="J9" s="10">
        <v>0.3</v>
      </c>
      <c r="K9" s="13"/>
      <c r="L9" s="12"/>
      <c r="M9" s="12"/>
    </row>
    <row r="10">
      <c r="A10" s="13"/>
      <c r="B10" s="13"/>
      <c r="C10" s="13"/>
      <c r="D10" s="13"/>
      <c r="E10" s="15"/>
      <c r="F10" s="15"/>
      <c r="G10" s="15"/>
      <c r="H10" s="8" t="s">
        <v>24</v>
      </c>
      <c r="I10" s="9">
        <v>0.75</v>
      </c>
      <c r="J10" s="10">
        <v>0.35</v>
      </c>
      <c r="K10" s="13"/>
      <c r="L10" s="12"/>
      <c r="M10" s="12"/>
    </row>
    <row r="11">
      <c r="A11" s="13"/>
      <c r="B11" s="13"/>
      <c r="C11" s="13"/>
      <c r="D11" s="13"/>
      <c r="E11" s="6" t="s">
        <v>25</v>
      </c>
      <c r="F11" s="7">
        <f>(J11*I11)+(I12*J12)</f>
        <v>0.607</v>
      </c>
      <c r="G11" s="7">
        <v>0.15</v>
      </c>
      <c r="H11" s="8" t="s">
        <v>26</v>
      </c>
      <c r="I11" s="9">
        <v>0.61</v>
      </c>
      <c r="J11" s="10">
        <v>0.6</v>
      </c>
      <c r="K11" s="13"/>
      <c r="L11" s="12"/>
      <c r="M11" s="12"/>
    </row>
    <row r="12">
      <c r="A12" s="13"/>
      <c r="B12" s="15"/>
      <c r="C12" s="15"/>
      <c r="D12" s="15"/>
      <c r="E12" s="15"/>
      <c r="F12" s="15"/>
      <c r="G12" s="15"/>
      <c r="H12" s="16" t="s">
        <v>27</v>
      </c>
      <c r="I12" s="14">
        <f>2.41/4</f>
        <v>0.6025</v>
      </c>
      <c r="J12" s="17">
        <v>0.4</v>
      </c>
      <c r="K12" s="13"/>
      <c r="L12" s="12"/>
      <c r="M12" s="12"/>
    </row>
    <row r="13">
      <c r="A13" s="13"/>
      <c r="B13" s="18" t="s">
        <v>28</v>
      </c>
      <c r="C13" s="19">
        <f>(G13*F13)+(F17*G17)+(F21*G21)</f>
        <v>0.6627375</v>
      </c>
      <c r="D13" s="19">
        <v>0.2</v>
      </c>
      <c r="E13" s="20" t="s">
        <v>29</v>
      </c>
      <c r="F13" s="19">
        <f>(J13*I13)+(J14*I14)+(J15*I15)+(J16*I16)</f>
        <v>0.517</v>
      </c>
      <c r="G13" s="19">
        <v>0.35</v>
      </c>
      <c r="H13" s="21" t="s">
        <v>30</v>
      </c>
      <c r="I13" s="22">
        <f>5/10</f>
        <v>0.5</v>
      </c>
      <c r="J13" s="23">
        <v>0.3</v>
      </c>
      <c r="K13" s="13"/>
      <c r="L13" s="12"/>
      <c r="M13" s="12"/>
    </row>
    <row r="14">
      <c r="A14" s="13"/>
      <c r="B14" s="13"/>
      <c r="C14" s="13"/>
      <c r="D14" s="13"/>
      <c r="E14" s="13"/>
      <c r="F14" s="13"/>
      <c r="G14" s="13"/>
      <c r="H14" s="21" t="s">
        <v>31</v>
      </c>
      <c r="I14" s="24">
        <f>2.29/4</f>
        <v>0.5725</v>
      </c>
      <c r="J14" s="23">
        <v>0.2</v>
      </c>
      <c r="K14" s="13"/>
      <c r="L14" s="12"/>
      <c r="M14" s="12"/>
    </row>
    <row r="15">
      <c r="A15" s="13"/>
      <c r="B15" s="13"/>
      <c r="C15" s="13"/>
      <c r="D15" s="13"/>
      <c r="E15" s="13"/>
      <c r="F15" s="13"/>
      <c r="G15" s="13"/>
      <c r="H15" s="21" t="s">
        <v>32</v>
      </c>
      <c r="I15" s="22">
        <f>2.92/4</f>
        <v>0.73</v>
      </c>
      <c r="J15" s="23">
        <v>0.2</v>
      </c>
      <c r="K15" s="13"/>
      <c r="L15" s="12"/>
      <c r="M15" s="12"/>
    </row>
    <row r="16">
      <c r="A16" s="13"/>
      <c r="B16" s="13"/>
      <c r="C16" s="13"/>
      <c r="D16" s="13"/>
      <c r="E16" s="15"/>
      <c r="F16" s="15"/>
      <c r="G16" s="15"/>
      <c r="H16" s="21" t="s">
        <v>33</v>
      </c>
      <c r="I16" s="22">
        <f>1.42/4</f>
        <v>0.355</v>
      </c>
      <c r="J16" s="23">
        <v>0.3</v>
      </c>
      <c r="K16" s="13"/>
      <c r="L16" s="12"/>
      <c r="M16" s="12"/>
    </row>
    <row r="17">
      <c r="A17" s="13"/>
      <c r="B17" s="13"/>
      <c r="C17" s="13"/>
      <c r="D17" s="13"/>
      <c r="E17" s="25" t="s">
        <v>34</v>
      </c>
      <c r="F17" s="19">
        <f>(J17*I17)+(J18*I18)+(J19*I19)</f>
        <v>0.824</v>
      </c>
      <c r="G17" s="19">
        <v>0.4</v>
      </c>
      <c r="H17" s="21" t="s">
        <v>35</v>
      </c>
      <c r="I17" s="22">
        <v>0.865</v>
      </c>
      <c r="J17" s="23">
        <v>0.5</v>
      </c>
      <c r="K17" s="13"/>
      <c r="L17" s="12"/>
      <c r="M17" s="12"/>
    </row>
    <row r="18">
      <c r="A18" s="13"/>
      <c r="B18" s="13"/>
      <c r="C18" s="13"/>
      <c r="D18" s="13"/>
      <c r="E18" s="13"/>
      <c r="F18" s="13"/>
      <c r="G18" s="13"/>
      <c r="H18" s="21" t="s">
        <v>36</v>
      </c>
      <c r="I18" s="22">
        <f>(100-8)/100</f>
        <v>0.92</v>
      </c>
      <c r="J18" s="23">
        <v>0.3</v>
      </c>
      <c r="K18" s="13"/>
      <c r="L18" s="12"/>
      <c r="M18" s="12"/>
    </row>
    <row r="19">
      <c r="A19" s="13"/>
      <c r="B19" s="13"/>
      <c r="C19" s="13"/>
      <c r="D19" s="13"/>
      <c r="E19" s="13"/>
      <c r="F19" s="13"/>
      <c r="G19" s="13"/>
      <c r="H19" s="26" t="s">
        <v>37</v>
      </c>
      <c r="I19" s="27">
        <f>2.31/4</f>
        <v>0.5775</v>
      </c>
      <c r="J19" s="19">
        <v>0.2</v>
      </c>
      <c r="K19" s="13"/>
      <c r="L19" s="12"/>
      <c r="M19" s="12"/>
    </row>
    <row r="20">
      <c r="A20" s="13"/>
      <c r="B20" s="13"/>
      <c r="C20" s="13"/>
      <c r="D20" s="13"/>
      <c r="E20" s="15"/>
      <c r="F20" s="15"/>
      <c r="G20" s="15"/>
      <c r="H20" s="15"/>
      <c r="I20" s="15"/>
      <c r="J20" s="15"/>
      <c r="K20" s="13"/>
      <c r="L20" s="12"/>
      <c r="M20" s="12"/>
    </row>
    <row r="21">
      <c r="A21" s="13"/>
      <c r="B21" s="13"/>
      <c r="C21" s="13"/>
      <c r="D21" s="13"/>
      <c r="E21" s="25" t="s">
        <v>38</v>
      </c>
      <c r="F21" s="19">
        <f>(J21*I21)+(I22*J22)+(I23*J23)</f>
        <v>0.60875</v>
      </c>
      <c r="G21" s="19">
        <v>0.25</v>
      </c>
      <c r="H21" s="21" t="s">
        <v>39</v>
      </c>
      <c r="I21" s="24">
        <f>(100-42.4)/100</f>
        <v>0.576</v>
      </c>
      <c r="J21" s="23">
        <v>0.25</v>
      </c>
      <c r="K21" s="13"/>
      <c r="L21" s="12"/>
      <c r="M21" s="12"/>
    </row>
    <row r="22">
      <c r="A22" s="13"/>
      <c r="B22" s="13"/>
      <c r="C22" s="13"/>
      <c r="D22" s="13"/>
      <c r="E22" s="13"/>
      <c r="F22" s="13"/>
      <c r="G22" s="13"/>
      <c r="H22" s="21" t="s">
        <v>40</v>
      </c>
      <c r="I22" s="22">
        <f>2.48/4</f>
        <v>0.62</v>
      </c>
      <c r="J22" s="23">
        <v>0.5</v>
      </c>
      <c r="K22" s="13"/>
      <c r="L22" s="12"/>
      <c r="M22" s="12"/>
    </row>
    <row r="23">
      <c r="A23" s="13"/>
      <c r="B23" s="15"/>
      <c r="C23" s="15"/>
      <c r="D23" s="15"/>
      <c r="E23" s="15"/>
      <c r="F23" s="15"/>
      <c r="G23" s="15"/>
      <c r="H23" s="21" t="s">
        <v>41</v>
      </c>
      <c r="I23" s="24">
        <f>(100-38.1)/100</f>
        <v>0.619</v>
      </c>
      <c r="J23" s="23">
        <v>0.25</v>
      </c>
      <c r="K23" s="13"/>
      <c r="L23" s="12"/>
      <c r="M23" s="12"/>
    </row>
    <row r="24">
      <c r="A24" s="13"/>
      <c r="B24" s="28" t="s">
        <v>42</v>
      </c>
      <c r="C24" s="29">
        <f>(G24*F24)+(F26*G26)</f>
        <v>0.613</v>
      </c>
      <c r="D24" s="29">
        <v>0.2</v>
      </c>
      <c r="E24" s="30" t="s">
        <v>43</v>
      </c>
      <c r="F24" s="29">
        <f>(J24*I24)+(I25*J25)</f>
        <v>0.5066666667</v>
      </c>
      <c r="G24" s="29">
        <v>0.45</v>
      </c>
      <c r="H24" s="31" t="s">
        <v>44</v>
      </c>
      <c r="I24" s="32">
        <v>0.52</v>
      </c>
      <c r="J24" s="33">
        <v>0.6</v>
      </c>
      <c r="K24" s="13"/>
      <c r="L24" s="12"/>
      <c r="M24" s="12"/>
    </row>
    <row r="25">
      <c r="A25" s="13"/>
      <c r="B25" s="13"/>
      <c r="C25" s="13"/>
      <c r="D25" s="13"/>
      <c r="E25" s="15"/>
      <c r="F25" s="15"/>
      <c r="G25" s="15"/>
      <c r="H25" s="31" t="s">
        <v>45</v>
      </c>
      <c r="I25" s="34">
        <f>1.46/3</f>
        <v>0.4866666667</v>
      </c>
      <c r="J25" s="33">
        <v>0.4</v>
      </c>
      <c r="K25" s="13"/>
      <c r="L25" s="12"/>
      <c r="M25" s="12"/>
    </row>
    <row r="26">
      <c r="A26" s="13"/>
      <c r="B26" s="13"/>
      <c r="C26" s="13"/>
      <c r="D26" s="13"/>
      <c r="E26" s="30" t="s">
        <v>46</v>
      </c>
      <c r="F26" s="29">
        <f>(J26*I26)+(I27*J27)</f>
        <v>0.7</v>
      </c>
      <c r="G26" s="29">
        <v>0.55</v>
      </c>
      <c r="H26" s="31" t="s">
        <v>47</v>
      </c>
      <c r="I26" s="32">
        <f>((8+7+6)/3)/10</f>
        <v>0.7</v>
      </c>
      <c r="J26" s="33">
        <v>0.6</v>
      </c>
      <c r="K26" s="13"/>
      <c r="L26" s="12"/>
      <c r="M26" s="12"/>
    </row>
    <row r="27">
      <c r="A27" s="13"/>
      <c r="B27" s="15"/>
      <c r="C27" s="15"/>
      <c r="D27" s="15"/>
      <c r="E27" s="15"/>
      <c r="F27" s="15"/>
      <c r="G27" s="15"/>
      <c r="H27" s="31" t="s">
        <v>48</v>
      </c>
      <c r="I27" s="32">
        <f>7/10</f>
        <v>0.7</v>
      </c>
      <c r="J27" s="33">
        <v>0.4</v>
      </c>
      <c r="K27" s="13"/>
      <c r="L27" s="12"/>
      <c r="M27" s="12"/>
    </row>
    <row r="28">
      <c r="A28" s="13"/>
      <c r="B28" s="35" t="s">
        <v>49</v>
      </c>
      <c r="C28" s="36">
        <f>(F28*G28)+(F32*G32)</f>
        <v>0.92229375</v>
      </c>
      <c r="D28" s="36">
        <v>0.2</v>
      </c>
      <c r="E28" s="37" t="s">
        <v>50</v>
      </c>
      <c r="F28" s="36">
        <f>(J28*I28)+(J29*I29)+(J30*I30)+(J31*I31)</f>
        <v>0.931125</v>
      </c>
      <c r="G28" s="36">
        <v>0.55</v>
      </c>
      <c r="H28" s="38" t="s">
        <v>51</v>
      </c>
      <c r="I28" s="39">
        <v>0.88</v>
      </c>
      <c r="J28" s="40">
        <v>0.35</v>
      </c>
      <c r="K28" s="13"/>
      <c r="L28" s="12"/>
      <c r="M28" s="12"/>
    </row>
    <row r="29">
      <c r="A29" s="13"/>
      <c r="B29" s="13"/>
      <c r="C29" s="13"/>
      <c r="D29" s="13"/>
      <c r="E29" s="13"/>
      <c r="F29" s="13"/>
      <c r="G29" s="13"/>
      <c r="H29" s="38" t="s">
        <v>52</v>
      </c>
      <c r="I29" s="41">
        <f>3.89/4</f>
        <v>0.9725</v>
      </c>
      <c r="J29" s="40">
        <v>0.35</v>
      </c>
      <c r="K29" s="13"/>
      <c r="L29" s="12"/>
      <c r="M29" s="12"/>
    </row>
    <row r="30">
      <c r="A30" s="13"/>
      <c r="B30" s="13"/>
      <c r="C30" s="13"/>
      <c r="D30" s="13"/>
      <c r="E30" s="13"/>
      <c r="F30" s="13"/>
      <c r="G30" s="13"/>
      <c r="H30" s="38" t="s">
        <v>53</v>
      </c>
      <c r="I30" s="41">
        <f>3.54/4</f>
        <v>0.885</v>
      </c>
      <c r="J30" s="40">
        <v>0.15</v>
      </c>
      <c r="K30" s="13"/>
      <c r="L30" s="12"/>
      <c r="M30" s="12"/>
    </row>
    <row r="31">
      <c r="A31" s="13"/>
      <c r="B31" s="13"/>
      <c r="C31" s="13"/>
      <c r="D31" s="13"/>
      <c r="E31" s="15"/>
      <c r="F31" s="15"/>
      <c r="G31" s="15"/>
      <c r="H31" s="38" t="s">
        <v>54</v>
      </c>
      <c r="I31" s="39">
        <v>1.0</v>
      </c>
      <c r="J31" s="40">
        <v>0.15</v>
      </c>
      <c r="K31" s="13"/>
      <c r="L31" s="12"/>
      <c r="M31" s="12"/>
    </row>
    <row r="32">
      <c r="A32" s="13"/>
      <c r="B32" s="13"/>
      <c r="C32" s="13"/>
      <c r="D32" s="13"/>
      <c r="E32" s="35" t="s">
        <v>55</v>
      </c>
      <c r="F32" s="36">
        <f>(J32*I32)+(I33*J33)+(I34*J34)</f>
        <v>0.9115</v>
      </c>
      <c r="G32" s="36">
        <v>0.45</v>
      </c>
      <c r="H32" s="38" t="s">
        <v>56</v>
      </c>
      <c r="I32" s="39">
        <f>3.44/4</f>
        <v>0.86</v>
      </c>
      <c r="J32" s="40">
        <v>0.3</v>
      </c>
      <c r="K32" s="13"/>
      <c r="L32" s="12"/>
      <c r="M32" s="12"/>
    </row>
    <row r="33">
      <c r="A33" s="13"/>
      <c r="B33" s="13"/>
      <c r="C33" s="13"/>
      <c r="D33" s="13"/>
      <c r="E33" s="13"/>
      <c r="F33" s="13"/>
      <c r="G33" s="13"/>
      <c r="H33" s="38" t="s">
        <v>57</v>
      </c>
      <c r="I33" s="41">
        <f>3.94/4</f>
        <v>0.985</v>
      </c>
      <c r="J33" s="40">
        <v>0.3</v>
      </c>
      <c r="K33" s="13"/>
      <c r="L33" s="12"/>
      <c r="M33" s="12"/>
    </row>
    <row r="34">
      <c r="A34" s="13"/>
      <c r="B34" s="15"/>
      <c r="C34" s="15"/>
      <c r="D34" s="15"/>
      <c r="E34" s="15"/>
      <c r="F34" s="15"/>
      <c r="G34" s="15"/>
      <c r="H34" s="38" t="s">
        <v>58</v>
      </c>
      <c r="I34" s="41">
        <f>3.58/4</f>
        <v>0.895</v>
      </c>
      <c r="J34" s="40">
        <v>0.4</v>
      </c>
      <c r="K34" s="13"/>
      <c r="L34" s="12"/>
      <c r="M34" s="12"/>
    </row>
    <row r="35">
      <c r="A35" s="13"/>
      <c r="B35" s="42" t="s">
        <v>59</v>
      </c>
      <c r="C35" s="43">
        <f>(F35*G35)+(F37*G37)</f>
        <v>0.76</v>
      </c>
      <c r="D35" s="43">
        <v>0.1</v>
      </c>
      <c r="E35" s="42" t="s">
        <v>60</v>
      </c>
      <c r="F35" s="43">
        <f>(J35*I35)+(I36*J36)</f>
        <v>1</v>
      </c>
      <c r="G35" s="43">
        <v>0.6</v>
      </c>
      <c r="H35" s="44" t="s">
        <v>61</v>
      </c>
      <c r="I35" s="45">
        <v>1.0</v>
      </c>
      <c r="J35" s="46">
        <v>0.5</v>
      </c>
      <c r="K35" s="13"/>
      <c r="L35" s="12"/>
      <c r="M35" s="12"/>
    </row>
    <row r="36">
      <c r="A36" s="13"/>
      <c r="B36" s="13"/>
      <c r="C36" s="13"/>
      <c r="D36" s="13"/>
      <c r="E36" s="15"/>
      <c r="F36" s="15"/>
      <c r="G36" s="15"/>
      <c r="H36" s="44" t="s">
        <v>62</v>
      </c>
      <c r="I36" s="45">
        <f>3/3</f>
        <v>1</v>
      </c>
      <c r="J36" s="46">
        <v>0.5</v>
      </c>
      <c r="K36" s="13"/>
      <c r="L36" s="12"/>
      <c r="M36" s="12"/>
    </row>
    <row r="37">
      <c r="A37" s="13"/>
      <c r="B37" s="13"/>
      <c r="C37" s="13"/>
      <c r="D37" s="13"/>
      <c r="E37" s="42" t="s">
        <v>63</v>
      </c>
      <c r="F37" s="43">
        <f>(J37*I37)+(I38*J38)</f>
        <v>0.4</v>
      </c>
      <c r="G37" s="43">
        <v>0.4</v>
      </c>
      <c r="H37" s="44" t="s">
        <v>64</v>
      </c>
      <c r="I37" s="45">
        <v>0.0</v>
      </c>
      <c r="J37" s="47">
        <v>0.6</v>
      </c>
      <c r="K37" s="13"/>
      <c r="L37" s="12"/>
      <c r="M37" s="12"/>
    </row>
    <row r="38">
      <c r="A38" s="15"/>
      <c r="B38" s="15"/>
      <c r="C38" s="15"/>
      <c r="D38" s="15"/>
      <c r="E38" s="15"/>
      <c r="F38" s="15"/>
      <c r="G38" s="15"/>
      <c r="H38" s="44" t="s">
        <v>65</v>
      </c>
      <c r="I38" s="45">
        <f>100/100</f>
        <v>1</v>
      </c>
      <c r="J38" s="47">
        <v>0.4</v>
      </c>
      <c r="K38" s="15"/>
      <c r="L38" s="12"/>
      <c r="M38" s="12"/>
    </row>
    <row r="39">
      <c r="A39" s="48"/>
    </row>
    <row r="42">
      <c r="A42" s="49" t="s">
        <v>66</v>
      </c>
      <c r="B42" s="6" t="s">
        <v>12</v>
      </c>
      <c r="C42" s="7">
        <f>(G42*F42)+(G46*F46)+(G48*F48)+(G51*F51)</f>
        <v>0.445998</v>
      </c>
      <c r="D42" s="7">
        <v>0.3</v>
      </c>
      <c r="E42" s="6" t="s">
        <v>13</v>
      </c>
      <c r="F42" s="7">
        <f>(J42*I42)+(J43*I43)+(J44*I44)+(J45*I45)</f>
        <v>0.41635</v>
      </c>
      <c r="G42" s="7">
        <v>0.3</v>
      </c>
      <c r="H42" s="8" t="s">
        <v>14</v>
      </c>
      <c r="I42" s="9">
        <v>0.71</v>
      </c>
      <c r="J42" s="10">
        <v>0.15</v>
      </c>
      <c r="K42" s="11">
        <f>(C42*D42)+(C53*D53)+(C64*D64)+(C68*D68)+(C75*D75)</f>
        <v>0.54822315</v>
      </c>
      <c r="L42" s="50"/>
    </row>
    <row r="43">
      <c r="A43" s="13"/>
      <c r="B43" s="13"/>
      <c r="C43" s="13"/>
      <c r="D43" s="13"/>
      <c r="E43" s="13"/>
      <c r="F43" s="13"/>
      <c r="G43" s="13"/>
      <c r="H43" s="8" t="s">
        <v>15</v>
      </c>
      <c r="I43" s="9">
        <v>0.28</v>
      </c>
      <c r="J43" s="10">
        <v>0.5</v>
      </c>
      <c r="K43" s="13"/>
    </row>
    <row r="44">
      <c r="A44" s="13"/>
      <c r="B44" s="13"/>
      <c r="C44" s="13"/>
      <c r="D44" s="13"/>
      <c r="E44" s="13"/>
      <c r="F44" s="13"/>
      <c r="G44" s="13"/>
      <c r="H44" s="8" t="s">
        <v>16</v>
      </c>
      <c r="I44" s="14">
        <f>5.59/10</f>
        <v>0.559</v>
      </c>
      <c r="J44" s="10">
        <v>0.15</v>
      </c>
      <c r="K44" s="13"/>
    </row>
    <row r="45">
      <c r="A45" s="13"/>
      <c r="B45" s="13"/>
      <c r="C45" s="13"/>
      <c r="D45" s="13"/>
      <c r="E45" s="15"/>
      <c r="F45" s="15"/>
      <c r="G45" s="15"/>
      <c r="H45" s="8" t="s">
        <v>17</v>
      </c>
      <c r="I45" s="9">
        <v>0.43</v>
      </c>
      <c r="J45" s="10">
        <v>0.2</v>
      </c>
      <c r="K45" s="13"/>
    </row>
    <row r="46">
      <c r="A46" s="13"/>
      <c r="B46" s="13"/>
      <c r="C46" s="13"/>
      <c r="D46" s="13"/>
      <c r="E46" s="6" t="s">
        <v>18</v>
      </c>
      <c r="F46" s="7">
        <f>(J46*I46)+(I47*J47)</f>
        <v>0.465</v>
      </c>
      <c r="G46" s="7">
        <v>0.25</v>
      </c>
      <c r="H46" s="8" t="s">
        <v>19</v>
      </c>
      <c r="I46" s="9">
        <v>0.6</v>
      </c>
      <c r="J46" s="10">
        <v>0.7</v>
      </c>
      <c r="K46" s="13"/>
    </row>
    <row r="47">
      <c r="A47" s="13"/>
      <c r="B47" s="13"/>
      <c r="C47" s="13"/>
      <c r="D47" s="13"/>
      <c r="E47" s="15"/>
      <c r="F47" s="15"/>
      <c r="G47" s="15"/>
      <c r="H47" s="8" t="s">
        <v>20</v>
      </c>
      <c r="I47" s="9">
        <f>0.6/4</f>
        <v>0.15</v>
      </c>
      <c r="J47" s="10">
        <v>0.3</v>
      </c>
      <c r="K47" s="13"/>
    </row>
    <row r="48">
      <c r="A48" s="13"/>
      <c r="B48" s="13"/>
      <c r="C48" s="13"/>
      <c r="D48" s="13"/>
      <c r="E48" s="6" t="s">
        <v>21</v>
      </c>
      <c r="F48" s="7">
        <f>(J48*I48)+(I49*J49)+(I50*J50)</f>
        <v>0.42581</v>
      </c>
      <c r="G48" s="7">
        <v>0.3</v>
      </c>
      <c r="H48" s="8" t="s">
        <v>22</v>
      </c>
      <c r="I48" s="14">
        <f>27.66/100</f>
        <v>0.2766</v>
      </c>
      <c r="J48" s="10">
        <v>0.35</v>
      </c>
      <c r="K48" s="13"/>
    </row>
    <row r="49">
      <c r="A49" s="13"/>
      <c r="B49" s="13"/>
      <c r="C49" s="13"/>
      <c r="D49" s="13"/>
      <c r="E49" s="13"/>
      <c r="F49" s="13"/>
      <c r="G49" s="13"/>
      <c r="H49" s="8" t="s">
        <v>23</v>
      </c>
      <c r="I49" s="9">
        <f>28/100</f>
        <v>0.28</v>
      </c>
      <c r="J49" s="10">
        <v>0.3</v>
      </c>
      <c r="K49" s="13"/>
    </row>
    <row r="50">
      <c r="A50" s="13"/>
      <c r="B50" s="13"/>
      <c r="C50" s="13"/>
      <c r="D50" s="13"/>
      <c r="E50" s="15"/>
      <c r="F50" s="15"/>
      <c r="G50" s="15"/>
      <c r="H50" s="8" t="s">
        <v>24</v>
      </c>
      <c r="I50" s="9">
        <v>0.7</v>
      </c>
      <c r="J50" s="10">
        <v>0.35</v>
      </c>
      <c r="K50" s="13"/>
    </row>
    <row r="51">
      <c r="A51" s="13"/>
      <c r="B51" s="13"/>
      <c r="C51" s="13"/>
      <c r="D51" s="13"/>
      <c r="E51" s="6" t="s">
        <v>25</v>
      </c>
      <c r="F51" s="7">
        <f>(J51*I51)+(I52*J52)</f>
        <v>0.514</v>
      </c>
      <c r="G51" s="7">
        <v>0.15</v>
      </c>
      <c r="H51" s="8" t="s">
        <v>26</v>
      </c>
      <c r="I51" s="9">
        <v>0.45</v>
      </c>
      <c r="J51" s="10">
        <v>0.6</v>
      </c>
      <c r="K51" s="13"/>
    </row>
    <row r="52">
      <c r="A52" s="13"/>
      <c r="B52" s="15"/>
      <c r="C52" s="15"/>
      <c r="D52" s="15"/>
      <c r="E52" s="15"/>
      <c r="F52" s="15"/>
      <c r="G52" s="15"/>
      <c r="H52" s="16" t="s">
        <v>27</v>
      </c>
      <c r="I52" s="9">
        <f>2.44/4</f>
        <v>0.61</v>
      </c>
      <c r="J52" s="17">
        <v>0.4</v>
      </c>
      <c r="K52" s="13"/>
    </row>
    <row r="53">
      <c r="A53" s="13"/>
      <c r="B53" s="18" t="s">
        <v>28</v>
      </c>
      <c r="C53" s="19">
        <f>(G53*F53)+(F57*G57)+(F61*G61)</f>
        <v>0.617175</v>
      </c>
      <c r="D53" s="19">
        <v>0.2</v>
      </c>
      <c r="E53" s="20" t="s">
        <v>29</v>
      </c>
      <c r="F53" s="19">
        <f>(J53*I53)+(J54*I54)+(J55*I55)+(J56*I56)</f>
        <v>0.423</v>
      </c>
      <c r="G53" s="19">
        <v>0.35</v>
      </c>
      <c r="H53" s="21" t="s">
        <v>30</v>
      </c>
      <c r="I53" s="22">
        <f>5/10</f>
        <v>0.5</v>
      </c>
      <c r="J53" s="23">
        <v>0.3</v>
      </c>
      <c r="K53" s="13"/>
    </row>
    <row r="54">
      <c r="A54" s="13"/>
      <c r="B54" s="13"/>
      <c r="C54" s="13"/>
      <c r="D54" s="13"/>
      <c r="E54" s="13"/>
      <c r="F54" s="13"/>
      <c r="G54" s="13"/>
      <c r="H54" s="21" t="s">
        <v>31</v>
      </c>
      <c r="I54" s="24">
        <f>1.03/4</f>
        <v>0.2575</v>
      </c>
      <c r="J54" s="23">
        <v>0.2</v>
      </c>
      <c r="K54" s="13"/>
    </row>
    <row r="55">
      <c r="A55" s="13"/>
      <c r="B55" s="13"/>
      <c r="C55" s="13"/>
      <c r="D55" s="13"/>
      <c r="E55" s="13"/>
      <c r="F55" s="13"/>
      <c r="G55" s="13"/>
      <c r="H55" s="21" t="s">
        <v>32</v>
      </c>
      <c r="I55" s="24">
        <f>1.61/4</f>
        <v>0.4025</v>
      </c>
      <c r="J55" s="23">
        <v>0.2</v>
      </c>
      <c r="K55" s="13"/>
    </row>
    <row r="56">
      <c r="A56" s="13"/>
      <c r="B56" s="13"/>
      <c r="C56" s="13"/>
      <c r="D56" s="13"/>
      <c r="E56" s="15"/>
      <c r="F56" s="15"/>
      <c r="G56" s="15"/>
      <c r="H56" s="21" t="s">
        <v>67</v>
      </c>
      <c r="I56" s="22">
        <f>1.88/4</f>
        <v>0.47</v>
      </c>
      <c r="J56" s="23">
        <v>0.3</v>
      </c>
      <c r="K56" s="13"/>
    </row>
    <row r="57">
      <c r="A57" s="13"/>
      <c r="B57" s="13"/>
      <c r="C57" s="13"/>
      <c r="D57" s="13"/>
      <c r="E57" s="25" t="s">
        <v>34</v>
      </c>
      <c r="F57" s="19">
        <f>(J57*I57)+(J58*I58)+(J59*I59)</f>
        <v>0.7675</v>
      </c>
      <c r="G57" s="19">
        <v>0.4</v>
      </c>
      <c r="H57" s="21" t="s">
        <v>35</v>
      </c>
      <c r="I57" s="22">
        <v>0.733</v>
      </c>
      <c r="J57" s="23">
        <v>0.5</v>
      </c>
      <c r="K57" s="13"/>
    </row>
    <row r="58">
      <c r="A58" s="13"/>
      <c r="B58" s="13"/>
      <c r="C58" s="13"/>
      <c r="D58" s="13"/>
      <c r="E58" s="13"/>
      <c r="F58" s="13"/>
      <c r="G58" s="13"/>
      <c r="H58" s="21" t="s">
        <v>36</v>
      </c>
      <c r="I58" s="22">
        <f>(100-14)/100</f>
        <v>0.86</v>
      </c>
      <c r="J58" s="23">
        <v>0.3</v>
      </c>
      <c r="K58" s="13"/>
    </row>
    <row r="59">
      <c r="A59" s="13"/>
      <c r="B59" s="13"/>
      <c r="C59" s="13"/>
      <c r="D59" s="13"/>
      <c r="E59" s="13"/>
      <c r="F59" s="13"/>
      <c r="G59" s="13"/>
      <c r="H59" s="26" t="s">
        <v>37</v>
      </c>
      <c r="I59" s="27">
        <f>2.86/4</f>
        <v>0.715</v>
      </c>
      <c r="J59" s="19">
        <v>0.2</v>
      </c>
      <c r="K59" s="13"/>
    </row>
    <row r="60">
      <c r="A60" s="13"/>
      <c r="B60" s="13"/>
      <c r="C60" s="13"/>
      <c r="D60" s="13"/>
      <c r="E60" s="15"/>
      <c r="F60" s="15"/>
      <c r="G60" s="15"/>
      <c r="H60" s="15"/>
      <c r="I60" s="15"/>
      <c r="J60" s="15"/>
      <c r="K60" s="13"/>
    </row>
    <row r="61">
      <c r="A61" s="13"/>
      <c r="B61" s="13"/>
      <c r="C61" s="13"/>
      <c r="D61" s="13"/>
      <c r="E61" s="25" t="s">
        <v>38</v>
      </c>
      <c r="F61" s="19">
        <f>(J61*I61)+(I62*J62)+(I63*J63)</f>
        <v>0.6485</v>
      </c>
      <c r="G61" s="19">
        <v>0.25</v>
      </c>
      <c r="H61" s="21" t="s">
        <v>68</v>
      </c>
      <c r="I61" s="24">
        <f>(100-40.9)/100</f>
        <v>0.591</v>
      </c>
      <c r="J61" s="23">
        <v>0.25</v>
      </c>
      <c r="K61" s="13"/>
    </row>
    <row r="62">
      <c r="A62" s="13"/>
      <c r="B62" s="13"/>
      <c r="C62" s="13"/>
      <c r="D62" s="13"/>
      <c r="E62" s="13"/>
      <c r="F62" s="13"/>
      <c r="G62" s="13"/>
      <c r="H62" s="21" t="s">
        <v>40</v>
      </c>
      <c r="I62" s="22">
        <f>2.76/4</f>
        <v>0.69</v>
      </c>
      <c r="J62" s="23">
        <v>0.5</v>
      </c>
      <c r="K62" s="13"/>
    </row>
    <row r="63">
      <c r="A63" s="13"/>
      <c r="B63" s="15"/>
      <c r="C63" s="15"/>
      <c r="D63" s="15"/>
      <c r="E63" s="15"/>
      <c r="F63" s="15"/>
      <c r="G63" s="15"/>
      <c r="H63" s="21" t="s">
        <v>69</v>
      </c>
      <c r="I63" s="24">
        <f>(100-37.7)/100</f>
        <v>0.623</v>
      </c>
      <c r="J63" s="23">
        <v>0.25</v>
      </c>
      <c r="K63" s="13"/>
    </row>
    <row r="64">
      <c r="A64" s="13"/>
      <c r="B64" s="28" t="s">
        <v>42</v>
      </c>
      <c r="C64" s="29">
        <f>(G64*F64)+(F66*G66)</f>
        <v>0.3857</v>
      </c>
      <c r="D64" s="29">
        <v>0.2</v>
      </c>
      <c r="E64" s="30" t="s">
        <v>43</v>
      </c>
      <c r="F64" s="29">
        <f>(J64*I64)+(I65*J65)</f>
        <v>0.246</v>
      </c>
      <c r="G64" s="29">
        <v>0.45</v>
      </c>
      <c r="H64" s="31" t="s">
        <v>44</v>
      </c>
      <c r="I64" s="32">
        <v>0.27</v>
      </c>
      <c r="J64" s="33">
        <v>0.6</v>
      </c>
      <c r="K64" s="13"/>
    </row>
    <row r="65">
      <c r="A65" s="13"/>
      <c r="B65" s="13"/>
      <c r="C65" s="13"/>
      <c r="D65" s="13"/>
      <c r="E65" s="15"/>
      <c r="F65" s="15"/>
      <c r="G65" s="15"/>
      <c r="H65" s="31" t="s">
        <v>45</v>
      </c>
      <c r="I65" s="32">
        <f>0.63/3</f>
        <v>0.21</v>
      </c>
      <c r="J65" s="33">
        <v>0.4</v>
      </c>
      <c r="K65" s="13"/>
    </row>
    <row r="66">
      <c r="A66" s="13"/>
      <c r="B66" s="13"/>
      <c r="C66" s="13"/>
      <c r="D66" s="13"/>
      <c r="E66" s="30" t="s">
        <v>46</v>
      </c>
      <c r="F66" s="29">
        <f>(J66*I66)+(I67*J67)</f>
        <v>0.5</v>
      </c>
      <c r="G66" s="29">
        <v>0.55</v>
      </c>
      <c r="H66" s="31" t="s">
        <v>47</v>
      </c>
      <c r="I66" s="34">
        <f>((4+4+5)/3)/10</f>
        <v>0.4333333333</v>
      </c>
      <c r="J66" s="33">
        <v>0.6</v>
      </c>
      <c r="K66" s="13"/>
    </row>
    <row r="67">
      <c r="A67" s="13"/>
      <c r="B67" s="15"/>
      <c r="C67" s="15"/>
      <c r="D67" s="15"/>
      <c r="E67" s="15"/>
      <c r="F67" s="15"/>
      <c r="G67" s="15"/>
      <c r="H67" s="31" t="s">
        <v>48</v>
      </c>
      <c r="I67" s="32">
        <f>6/10</f>
        <v>0.6</v>
      </c>
      <c r="J67" s="33">
        <v>0.4</v>
      </c>
      <c r="K67" s="13"/>
    </row>
    <row r="68">
      <c r="A68" s="13"/>
      <c r="B68" s="35" t="s">
        <v>49</v>
      </c>
      <c r="C68" s="36">
        <f>(F68*G68)+(F72*G72)</f>
        <v>0.91544375</v>
      </c>
      <c r="D68" s="36">
        <v>0.2</v>
      </c>
      <c r="E68" s="37" t="s">
        <v>50</v>
      </c>
      <c r="F68" s="36">
        <f>(J68*I68)+(J69*I69)+(J70*I70)+(J71*I71)</f>
        <v>0.894125</v>
      </c>
      <c r="G68" s="36">
        <v>0.55</v>
      </c>
      <c r="H68" s="38" t="s">
        <v>51</v>
      </c>
      <c r="I68" s="39">
        <v>0.77</v>
      </c>
      <c r="J68" s="40">
        <v>0.35</v>
      </c>
      <c r="K68" s="13"/>
    </row>
    <row r="69">
      <c r="A69" s="13"/>
      <c r="B69" s="13"/>
      <c r="C69" s="13"/>
      <c r="D69" s="13"/>
      <c r="E69" s="13"/>
      <c r="F69" s="13"/>
      <c r="G69" s="13"/>
      <c r="H69" s="38" t="s">
        <v>52</v>
      </c>
      <c r="I69" s="41">
        <f>3.86/4</f>
        <v>0.965</v>
      </c>
      <c r="J69" s="40">
        <v>0.35</v>
      </c>
      <c r="K69" s="13"/>
    </row>
    <row r="70">
      <c r="A70" s="13"/>
      <c r="B70" s="13"/>
      <c r="C70" s="13"/>
      <c r="D70" s="13"/>
      <c r="E70" s="13"/>
      <c r="F70" s="13"/>
      <c r="G70" s="13"/>
      <c r="H70" s="38" t="s">
        <v>53</v>
      </c>
      <c r="I70" s="41">
        <f>3.65/4</f>
        <v>0.9125</v>
      </c>
      <c r="J70" s="40">
        <v>0.15</v>
      </c>
      <c r="K70" s="13"/>
    </row>
    <row r="71">
      <c r="A71" s="13"/>
      <c r="B71" s="13"/>
      <c r="C71" s="13"/>
      <c r="D71" s="13"/>
      <c r="E71" s="15"/>
      <c r="F71" s="15"/>
      <c r="G71" s="15"/>
      <c r="H71" s="38" t="s">
        <v>54</v>
      </c>
      <c r="I71" s="39">
        <v>1.0</v>
      </c>
      <c r="J71" s="40">
        <v>0.15</v>
      </c>
      <c r="K71" s="13"/>
    </row>
    <row r="72">
      <c r="A72" s="13"/>
      <c r="B72" s="13"/>
      <c r="C72" s="13"/>
      <c r="D72" s="13"/>
      <c r="E72" s="35" t="s">
        <v>55</v>
      </c>
      <c r="F72" s="36">
        <f>(J72*I72)+(I73*J73)+(I74*J74)</f>
        <v>0.9415</v>
      </c>
      <c r="G72" s="36">
        <v>0.45</v>
      </c>
      <c r="H72" s="38" t="s">
        <v>56</v>
      </c>
      <c r="I72" s="39">
        <f>3.84/4</f>
        <v>0.96</v>
      </c>
      <c r="J72" s="40">
        <v>0.3</v>
      </c>
      <c r="K72" s="13"/>
    </row>
    <row r="73">
      <c r="A73" s="13"/>
      <c r="B73" s="13"/>
      <c r="C73" s="13"/>
      <c r="D73" s="13"/>
      <c r="E73" s="13"/>
      <c r="F73" s="13"/>
      <c r="G73" s="13"/>
      <c r="H73" s="38" t="s">
        <v>57</v>
      </c>
      <c r="I73" s="41">
        <f>3.78/4</f>
        <v>0.945</v>
      </c>
      <c r="J73" s="40">
        <v>0.3</v>
      </c>
      <c r="K73" s="13"/>
    </row>
    <row r="74">
      <c r="A74" s="13"/>
      <c r="B74" s="15"/>
      <c r="C74" s="15"/>
      <c r="D74" s="15"/>
      <c r="E74" s="15"/>
      <c r="F74" s="15"/>
      <c r="G74" s="15"/>
      <c r="H74" s="38" t="s">
        <v>58</v>
      </c>
      <c r="I74" s="41">
        <f>3.7/4</f>
        <v>0.925</v>
      </c>
      <c r="J74" s="40">
        <v>0.4</v>
      </c>
      <c r="K74" s="13"/>
    </row>
    <row r="75">
      <c r="A75" s="13"/>
      <c r="B75" s="42" t="s">
        <v>59</v>
      </c>
      <c r="C75" s="43">
        <f>(F75*G75)+(F77*G77)</f>
        <v>0.3076</v>
      </c>
      <c r="D75" s="43">
        <v>0.1</v>
      </c>
      <c r="E75" s="42" t="s">
        <v>60</v>
      </c>
      <c r="F75" s="43">
        <f>(J75*I75)+(I76*J76)</f>
        <v>0.4166666667</v>
      </c>
      <c r="G75" s="43">
        <v>0.6</v>
      </c>
      <c r="H75" s="44" t="s">
        <v>61</v>
      </c>
      <c r="I75" s="45">
        <v>0.5</v>
      </c>
      <c r="J75" s="46">
        <v>0.5</v>
      </c>
      <c r="K75" s="13"/>
    </row>
    <row r="76">
      <c r="A76" s="13"/>
      <c r="B76" s="13"/>
      <c r="C76" s="13"/>
      <c r="D76" s="13"/>
      <c r="E76" s="15"/>
      <c r="F76" s="15"/>
      <c r="G76" s="15"/>
      <c r="H76" s="44" t="s">
        <v>62</v>
      </c>
      <c r="I76" s="51">
        <f>1/3</f>
        <v>0.3333333333</v>
      </c>
      <c r="J76" s="46">
        <v>0.5</v>
      </c>
      <c r="K76" s="13"/>
    </row>
    <row r="77">
      <c r="A77" s="13"/>
      <c r="B77" s="13"/>
      <c r="C77" s="13"/>
      <c r="D77" s="13"/>
      <c r="E77" s="42" t="s">
        <v>63</v>
      </c>
      <c r="F77" s="43">
        <f>(J77*I77)+(I78*J78)</f>
        <v>0.144</v>
      </c>
      <c r="G77" s="43">
        <v>0.4</v>
      </c>
      <c r="H77" s="44" t="s">
        <v>64</v>
      </c>
      <c r="I77" s="45">
        <v>0.0</v>
      </c>
      <c r="J77" s="47">
        <v>0.6</v>
      </c>
      <c r="K77" s="13"/>
    </row>
    <row r="78">
      <c r="A78" s="15"/>
      <c r="B78" s="15"/>
      <c r="C78" s="15"/>
      <c r="D78" s="15"/>
      <c r="E78" s="15"/>
      <c r="F78" s="15"/>
      <c r="G78" s="15"/>
      <c r="H78" s="44" t="s">
        <v>65</v>
      </c>
      <c r="I78" s="45">
        <f>36/100</f>
        <v>0.36</v>
      </c>
      <c r="J78" s="47">
        <v>0.4</v>
      </c>
      <c r="K78" s="15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</row>
    <row r="79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</row>
    <row r="80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</row>
    <row r="81">
      <c r="A81" s="49" t="s">
        <v>70</v>
      </c>
      <c r="B81" s="6" t="s">
        <v>12</v>
      </c>
      <c r="C81" s="7">
        <f>(G81*F81)+(G85*F85)+(G87*F87)+(G90*F90)</f>
        <v>0.715784</v>
      </c>
      <c r="D81" s="7">
        <v>0.3</v>
      </c>
      <c r="E81" s="6" t="s">
        <v>13</v>
      </c>
      <c r="F81" s="7">
        <f>(J81*I81)+(J82*I82)+(J83*I83)+(J84*I84)</f>
        <v>0.78925</v>
      </c>
      <c r="G81" s="7">
        <v>0.3</v>
      </c>
      <c r="H81" s="8" t="s">
        <v>14</v>
      </c>
      <c r="I81" s="9">
        <v>0.62</v>
      </c>
      <c r="J81" s="10">
        <v>0.15</v>
      </c>
      <c r="K81" s="11">
        <f>(C81*D81)+(C92*D92)+(C103*D103)+(C107*D107)+(C114*D114)</f>
        <v>0.71592645</v>
      </c>
      <c r="M81" s="53"/>
    </row>
    <row r="82">
      <c r="A82" s="13"/>
      <c r="B82" s="13"/>
      <c r="C82" s="13"/>
      <c r="D82" s="13"/>
      <c r="E82" s="13"/>
      <c r="F82" s="13"/>
      <c r="G82" s="13"/>
      <c r="H82" s="8" t="s">
        <v>15</v>
      </c>
      <c r="I82" s="9">
        <v>0.86</v>
      </c>
      <c r="J82" s="10">
        <v>0.5</v>
      </c>
      <c r="K82" s="13"/>
      <c r="M82" s="53"/>
    </row>
    <row r="83">
      <c r="A83" s="13"/>
      <c r="B83" s="13"/>
      <c r="C83" s="13"/>
      <c r="D83" s="13"/>
      <c r="E83" s="13"/>
      <c r="F83" s="13"/>
      <c r="G83" s="13"/>
      <c r="H83" s="8" t="s">
        <v>16</v>
      </c>
      <c r="I83" s="14">
        <f>7.35/10</f>
        <v>0.735</v>
      </c>
      <c r="J83" s="10">
        <v>0.15</v>
      </c>
      <c r="K83" s="13"/>
      <c r="M83" s="53"/>
    </row>
    <row r="84">
      <c r="A84" s="13"/>
      <c r="B84" s="13"/>
      <c r="C84" s="13"/>
      <c r="D84" s="13"/>
      <c r="E84" s="15"/>
      <c r="F84" s="15"/>
      <c r="G84" s="15"/>
      <c r="H84" s="8" t="s">
        <v>17</v>
      </c>
      <c r="I84" s="9">
        <v>0.78</v>
      </c>
      <c r="J84" s="10">
        <v>0.2</v>
      </c>
      <c r="K84" s="13"/>
      <c r="M84" s="53"/>
    </row>
    <row r="85">
      <c r="A85" s="13"/>
      <c r="B85" s="13"/>
      <c r="C85" s="13"/>
      <c r="D85" s="13"/>
      <c r="E85" s="6" t="s">
        <v>18</v>
      </c>
      <c r="F85" s="7">
        <f>(J85*I85)+(I86*J86)</f>
        <v>0.812</v>
      </c>
      <c r="G85" s="7">
        <v>0.25</v>
      </c>
      <c r="H85" s="8" t="s">
        <v>19</v>
      </c>
      <c r="I85" s="9">
        <v>0.8</v>
      </c>
      <c r="J85" s="10">
        <v>0.7</v>
      </c>
      <c r="K85" s="13"/>
      <c r="M85" s="53"/>
    </row>
    <row r="86">
      <c r="A86" s="13"/>
      <c r="B86" s="13"/>
      <c r="C86" s="13"/>
      <c r="D86" s="13"/>
      <c r="E86" s="15"/>
      <c r="F86" s="15"/>
      <c r="G86" s="15"/>
      <c r="H86" s="8" t="s">
        <v>20</v>
      </c>
      <c r="I86" s="9">
        <f>3.36/4</f>
        <v>0.84</v>
      </c>
      <c r="J86" s="10">
        <v>0.3</v>
      </c>
      <c r="K86" s="13"/>
      <c r="M86" s="53"/>
    </row>
    <row r="87">
      <c r="A87" s="13"/>
      <c r="B87" s="13"/>
      <c r="C87" s="13"/>
      <c r="D87" s="13"/>
      <c r="E87" s="6" t="s">
        <v>21</v>
      </c>
      <c r="F87" s="7">
        <f>(J87*I87)+(I88*J88)+(I89*J89)</f>
        <v>0.56553</v>
      </c>
      <c r="G87" s="7">
        <v>0.3</v>
      </c>
      <c r="H87" s="8" t="s">
        <v>22</v>
      </c>
      <c r="I87" s="14">
        <f>39.58/100</f>
        <v>0.3958</v>
      </c>
      <c r="J87" s="10">
        <v>0.35</v>
      </c>
      <c r="K87" s="13"/>
      <c r="M87" s="53"/>
    </row>
    <row r="88">
      <c r="A88" s="13"/>
      <c r="B88" s="13"/>
      <c r="C88" s="13"/>
      <c r="D88" s="13"/>
      <c r="E88" s="13"/>
      <c r="F88" s="13"/>
      <c r="G88" s="13"/>
      <c r="H88" s="8" t="s">
        <v>23</v>
      </c>
      <c r="I88" s="9">
        <f>35/100</f>
        <v>0.35</v>
      </c>
      <c r="J88" s="10">
        <v>0.3</v>
      </c>
      <c r="K88" s="13"/>
      <c r="M88" s="53"/>
    </row>
    <row r="89">
      <c r="A89" s="13"/>
      <c r="B89" s="13"/>
      <c r="C89" s="13"/>
      <c r="D89" s="13"/>
      <c r="E89" s="15"/>
      <c r="F89" s="15"/>
      <c r="G89" s="15"/>
      <c r="H89" s="8" t="s">
        <v>24</v>
      </c>
      <c r="I89" s="9">
        <v>0.92</v>
      </c>
      <c r="J89" s="10">
        <v>0.35</v>
      </c>
      <c r="K89" s="13"/>
      <c r="M89" s="53"/>
    </row>
    <row r="90">
      <c r="A90" s="13"/>
      <c r="B90" s="13"/>
      <c r="C90" s="13"/>
      <c r="D90" s="13"/>
      <c r="E90" s="6" t="s">
        <v>25</v>
      </c>
      <c r="F90" s="7">
        <f>(J90*I90)+(I91*J91)</f>
        <v>0.709</v>
      </c>
      <c r="G90" s="7">
        <v>0.15</v>
      </c>
      <c r="H90" s="8" t="s">
        <v>26</v>
      </c>
      <c r="I90" s="9">
        <v>0.54</v>
      </c>
      <c r="J90" s="10">
        <v>0.6</v>
      </c>
      <c r="K90" s="13"/>
      <c r="M90" s="53"/>
    </row>
    <row r="91">
      <c r="A91" s="13"/>
      <c r="B91" s="15"/>
      <c r="C91" s="15"/>
      <c r="D91" s="15"/>
      <c r="E91" s="15"/>
      <c r="F91" s="15"/>
      <c r="G91" s="15"/>
      <c r="H91" s="16" t="s">
        <v>27</v>
      </c>
      <c r="I91" s="14">
        <f>3.85/4</f>
        <v>0.9625</v>
      </c>
      <c r="J91" s="17">
        <v>0.4</v>
      </c>
      <c r="K91" s="13"/>
      <c r="M91" s="53"/>
    </row>
    <row r="92">
      <c r="A92" s="13"/>
      <c r="B92" s="18" t="s">
        <v>28</v>
      </c>
      <c r="C92" s="19">
        <f>(G92*F92)+(F96*G96)+(F100*G100)</f>
        <v>0.6149</v>
      </c>
      <c r="D92" s="19">
        <v>0.2</v>
      </c>
      <c r="E92" s="20" t="s">
        <v>29</v>
      </c>
      <c r="F92" s="19">
        <f>(J92*I92)+(J93*I93)+(J94*I94)+(J95*I95)</f>
        <v>0.49825</v>
      </c>
      <c r="G92" s="19">
        <v>0.35</v>
      </c>
      <c r="H92" s="21" t="s">
        <v>30</v>
      </c>
      <c r="I92" s="22">
        <f>7/10</f>
        <v>0.7</v>
      </c>
      <c r="J92" s="23">
        <v>0.3</v>
      </c>
      <c r="K92" s="13"/>
      <c r="M92" s="53"/>
    </row>
    <row r="93">
      <c r="A93" s="13"/>
      <c r="B93" s="13"/>
      <c r="C93" s="13"/>
      <c r="D93" s="13"/>
      <c r="E93" s="13"/>
      <c r="F93" s="13"/>
      <c r="G93" s="13"/>
      <c r="H93" s="21" t="s">
        <v>31</v>
      </c>
      <c r="I93" s="24">
        <f>1.3/4</f>
        <v>0.325</v>
      </c>
      <c r="J93" s="23">
        <v>0.2</v>
      </c>
      <c r="K93" s="13"/>
      <c r="M93" s="53"/>
    </row>
    <row r="94">
      <c r="A94" s="13"/>
      <c r="B94" s="13"/>
      <c r="C94" s="13"/>
      <c r="D94" s="13"/>
      <c r="E94" s="13"/>
      <c r="F94" s="13"/>
      <c r="G94" s="13"/>
      <c r="H94" s="21" t="s">
        <v>32</v>
      </c>
      <c r="I94" s="24">
        <f>2.38/4</f>
        <v>0.595</v>
      </c>
      <c r="J94" s="23">
        <v>0.2</v>
      </c>
      <c r="K94" s="13"/>
      <c r="M94" s="53"/>
    </row>
    <row r="95">
      <c r="A95" s="13"/>
      <c r="B95" s="13"/>
      <c r="C95" s="13"/>
      <c r="D95" s="13"/>
      <c r="E95" s="15"/>
      <c r="F95" s="15"/>
      <c r="G95" s="15"/>
      <c r="H95" s="21" t="s">
        <v>67</v>
      </c>
      <c r="I95" s="22">
        <f>1.39/4</f>
        <v>0.3475</v>
      </c>
      <c r="J95" s="23">
        <v>0.3</v>
      </c>
      <c r="K95" s="13"/>
      <c r="M95" s="53"/>
    </row>
    <row r="96">
      <c r="A96" s="13"/>
      <c r="B96" s="13"/>
      <c r="C96" s="13"/>
      <c r="D96" s="13"/>
      <c r="E96" s="25" t="s">
        <v>34</v>
      </c>
      <c r="F96" s="19">
        <f>(J96*I96)+(J97*I97)+(J98*I98)</f>
        <v>0.833</v>
      </c>
      <c r="G96" s="19">
        <v>0.4</v>
      </c>
      <c r="H96" s="21" t="s">
        <v>35</v>
      </c>
      <c r="I96" s="22">
        <v>0.786</v>
      </c>
      <c r="J96" s="23">
        <v>0.5</v>
      </c>
      <c r="K96" s="13"/>
      <c r="M96" s="53"/>
    </row>
    <row r="97">
      <c r="A97" s="13"/>
      <c r="B97" s="13"/>
      <c r="C97" s="13"/>
      <c r="D97" s="13"/>
      <c r="E97" s="13"/>
      <c r="F97" s="13"/>
      <c r="G97" s="13"/>
      <c r="H97" s="21" t="s">
        <v>36</v>
      </c>
      <c r="I97" s="22">
        <f>(100-12)/100</f>
        <v>0.88</v>
      </c>
      <c r="J97" s="23">
        <v>0.3</v>
      </c>
      <c r="K97" s="13"/>
      <c r="M97" s="53"/>
    </row>
    <row r="98">
      <c r="A98" s="13"/>
      <c r="B98" s="13"/>
      <c r="C98" s="13"/>
      <c r="D98" s="13"/>
      <c r="E98" s="13"/>
      <c r="F98" s="13"/>
      <c r="G98" s="13"/>
      <c r="H98" s="26" t="s">
        <v>37</v>
      </c>
      <c r="I98" s="54">
        <f>3.52/4</f>
        <v>0.88</v>
      </c>
      <c r="J98" s="19">
        <v>0.2</v>
      </c>
      <c r="K98" s="13"/>
    </row>
    <row r="99">
      <c r="A99" s="13"/>
      <c r="B99" s="13"/>
      <c r="C99" s="13"/>
      <c r="D99" s="13"/>
      <c r="E99" s="15"/>
      <c r="F99" s="15"/>
      <c r="G99" s="15"/>
      <c r="H99" s="15"/>
      <c r="I99" s="15"/>
      <c r="J99" s="15"/>
      <c r="K99" s="13"/>
    </row>
    <row r="100">
      <c r="A100" s="13"/>
      <c r="B100" s="13"/>
      <c r="C100" s="13"/>
      <c r="D100" s="13"/>
      <c r="E100" s="25" t="s">
        <v>38</v>
      </c>
      <c r="F100" s="19">
        <f>(J100*I100)+(I101*J101)+(I102*J102)</f>
        <v>0.42925</v>
      </c>
      <c r="G100" s="19">
        <v>0.25</v>
      </c>
      <c r="H100" s="21" t="s">
        <v>39</v>
      </c>
      <c r="I100" s="24">
        <f>(100-50.3)/100</f>
        <v>0.497</v>
      </c>
      <c r="J100" s="23">
        <v>0.25</v>
      </c>
      <c r="K100" s="13"/>
    </row>
    <row r="101">
      <c r="A101" s="13"/>
      <c r="B101" s="13"/>
      <c r="C101" s="13"/>
      <c r="D101" s="13"/>
      <c r="E101" s="13"/>
      <c r="F101" s="13"/>
      <c r="G101" s="13"/>
      <c r="H101" s="21" t="s">
        <v>40</v>
      </c>
      <c r="I101" s="22">
        <f>2.44/4</f>
        <v>0.61</v>
      </c>
      <c r="J101" s="23">
        <v>0.5</v>
      </c>
      <c r="K101" s="13"/>
    </row>
    <row r="102">
      <c r="A102" s="13"/>
      <c r="B102" s="15"/>
      <c r="C102" s="15"/>
      <c r="D102" s="15"/>
      <c r="E102" s="15"/>
      <c r="F102" s="15"/>
      <c r="G102" s="15"/>
      <c r="H102" s="21" t="s">
        <v>41</v>
      </c>
      <c r="I102" s="22"/>
      <c r="J102" s="23">
        <v>0.25</v>
      </c>
      <c r="K102" s="13"/>
    </row>
    <row r="103">
      <c r="A103" s="13"/>
      <c r="B103" s="28" t="s">
        <v>42</v>
      </c>
      <c r="C103" s="29">
        <f>(G103*F103)+(F105*G105)</f>
        <v>0.7708</v>
      </c>
      <c r="D103" s="29">
        <v>0.2</v>
      </c>
      <c r="E103" s="30" t="s">
        <v>43</v>
      </c>
      <c r="F103" s="29">
        <f>(J103*I103)+(I104*J104)</f>
        <v>0.8573333333</v>
      </c>
      <c r="G103" s="29">
        <v>0.45</v>
      </c>
      <c r="H103" s="31" t="s">
        <v>44</v>
      </c>
      <c r="I103" s="32">
        <v>0.92</v>
      </c>
      <c r="J103" s="33">
        <v>0.6</v>
      </c>
      <c r="K103" s="13"/>
    </row>
    <row r="104">
      <c r="A104" s="13"/>
      <c r="B104" s="13"/>
      <c r="C104" s="13"/>
      <c r="D104" s="13"/>
      <c r="E104" s="15"/>
      <c r="F104" s="15"/>
      <c r="G104" s="15"/>
      <c r="H104" s="31" t="s">
        <v>45</v>
      </c>
      <c r="I104" s="34">
        <f>2.29/3</f>
        <v>0.7633333333</v>
      </c>
      <c r="J104" s="33">
        <v>0.4</v>
      </c>
      <c r="K104" s="13"/>
    </row>
    <row r="105">
      <c r="A105" s="13"/>
      <c r="B105" s="13"/>
      <c r="C105" s="13"/>
      <c r="D105" s="13"/>
      <c r="E105" s="30" t="s">
        <v>46</v>
      </c>
      <c r="F105" s="29">
        <f>(J105*I105)+(I106*J106)</f>
        <v>0.7</v>
      </c>
      <c r="G105" s="29">
        <v>0.55</v>
      </c>
      <c r="H105" s="31" t="s">
        <v>47</v>
      </c>
      <c r="I105" s="32">
        <f>((8+7+6)/3)/10</f>
        <v>0.7</v>
      </c>
      <c r="J105" s="33">
        <v>0.6</v>
      </c>
      <c r="K105" s="13"/>
    </row>
    <row r="106">
      <c r="A106" s="13"/>
      <c r="B106" s="15"/>
      <c r="C106" s="15"/>
      <c r="D106" s="15"/>
      <c r="E106" s="15"/>
      <c r="F106" s="15"/>
      <c r="G106" s="15"/>
      <c r="H106" s="31" t="s">
        <v>48</v>
      </c>
      <c r="I106" s="32">
        <v>0.7</v>
      </c>
      <c r="J106" s="33">
        <v>0.4</v>
      </c>
      <c r="K106" s="13"/>
    </row>
    <row r="107">
      <c r="A107" s="13"/>
      <c r="B107" s="35" t="s">
        <v>49</v>
      </c>
      <c r="C107" s="36">
        <f>(F107*G107)+(F111*G111)</f>
        <v>0.79025625</v>
      </c>
      <c r="D107" s="36">
        <v>0.2</v>
      </c>
      <c r="E107" s="37" t="s">
        <v>50</v>
      </c>
      <c r="F107" s="36">
        <f>(J107*I107)+(J108*I108)+(J109*I109)+(J110*I110)</f>
        <v>0.901125</v>
      </c>
      <c r="G107" s="36">
        <v>0.55</v>
      </c>
      <c r="H107" s="38" t="s">
        <v>51</v>
      </c>
      <c r="I107" s="39">
        <v>0.84</v>
      </c>
      <c r="J107" s="40">
        <v>0.35</v>
      </c>
      <c r="K107" s="13"/>
    </row>
    <row r="108">
      <c r="A108" s="13"/>
      <c r="B108" s="13"/>
      <c r="C108" s="13"/>
      <c r="D108" s="13"/>
      <c r="E108" s="13"/>
      <c r="F108" s="13"/>
      <c r="G108" s="13"/>
      <c r="H108" s="38" t="s">
        <v>52</v>
      </c>
      <c r="I108" s="41">
        <f>3.57/4</f>
        <v>0.8925</v>
      </c>
      <c r="J108" s="40">
        <v>0.35</v>
      </c>
      <c r="K108" s="13"/>
    </row>
    <row r="109">
      <c r="A109" s="13"/>
      <c r="B109" s="13"/>
      <c r="C109" s="13"/>
      <c r="D109" s="13"/>
      <c r="E109" s="13"/>
      <c r="F109" s="13"/>
      <c r="G109" s="13"/>
      <c r="H109" s="38" t="s">
        <v>53</v>
      </c>
      <c r="I109" s="41">
        <f>3.86/4</f>
        <v>0.965</v>
      </c>
      <c r="J109" s="40">
        <v>0.15</v>
      </c>
      <c r="K109" s="13"/>
    </row>
    <row r="110">
      <c r="A110" s="13"/>
      <c r="B110" s="13"/>
      <c r="C110" s="13"/>
      <c r="D110" s="13"/>
      <c r="E110" s="15"/>
      <c r="F110" s="15"/>
      <c r="G110" s="15"/>
      <c r="H110" s="38" t="s">
        <v>54</v>
      </c>
      <c r="I110" s="39">
        <v>1.0</v>
      </c>
      <c r="J110" s="40">
        <v>0.15</v>
      </c>
      <c r="K110" s="13"/>
    </row>
    <row r="111">
      <c r="A111" s="13"/>
      <c r="B111" s="13"/>
      <c r="C111" s="13"/>
      <c r="D111" s="13"/>
      <c r="E111" s="35" t="s">
        <v>55</v>
      </c>
      <c r="F111" s="36">
        <f>(J111*I111)+(I112*J112)+(I113*J113)</f>
        <v>0.65475</v>
      </c>
      <c r="G111" s="36">
        <v>0.45</v>
      </c>
      <c r="H111" s="38" t="s">
        <v>56</v>
      </c>
      <c r="I111" s="41">
        <f>2.46/4</f>
        <v>0.615</v>
      </c>
      <c r="J111" s="40">
        <v>0.3</v>
      </c>
      <c r="K111" s="13"/>
    </row>
    <row r="112">
      <c r="A112" s="13"/>
      <c r="B112" s="13"/>
      <c r="C112" s="13"/>
      <c r="D112" s="13"/>
      <c r="E112" s="13"/>
      <c r="F112" s="13"/>
      <c r="G112" s="13"/>
      <c r="H112" s="38" t="s">
        <v>57</v>
      </c>
      <c r="I112" s="41">
        <f>2.55/4</f>
        <v>0.6375</v>
      </c>
      <c r="J112" s="40">
        <v>0.3</v>
      </c>
      <c r="K112" s="13"/>
    </row>
    <row r="113">
      <c r="A113" s="13"/>
      <c r="B113" s="15"/>
      <c r="C113" s="15"/>
      <c r="D113" s="15"/>
      <c r="E113" s="15"/>
      <c r="F113" s="15"/>
      <c r="G113" s="15"/>
      <c r="H113" s="38" t="s">
        <v>58</v>
      </c>
      <c r="I113" s="41">
        <f>2.79/4</f>
        <v>0.6975</v>
      </c>
      <c r="J113" s="40">
        <v>0.4</v>
      </c>
      <c r="K113" s="13"/>
    </row>
    <row r="114">
      <c r="A114" s="13"/>
      <c r="B114" s="42" t="s">
        <v>59</v>
      </c>
      <c r="C114" s="43">
        <f>(F114*G114)+(F116*G116)</f>
        <v>0.66</v>
      </c>
      <c r="D114" s="43">
        <v>0.1</v>
      </c>
      <c r="E114" s="42" t="s">
        <v>60</v>
      </c>
      <c r="F114" s="43">
        <f>(J114*I114)+(I115*J115)</f>
        <v>0.8333333333</v>
      </c>
      <c r="G114" s="43">
        <v>0.6</v>
      </c>
      <c r="H114" s="44" t="s">
        <v>61</v>
      </c>
      <c r="I114" s="45">
        <v>1.0</v>
      </c>
      <c r="J114" s="46">
        <v>0.5</v>
      </c>
      <c r="K114" s="13"/>
    </row>
    <row r="115">
      <c r="A115" s="13"/>
      <c r="B115" s="13"/>
      <c r="C115" s="13"/>
      <c r="D115" s="13"/>
      <c r="E115" s="15"/>
      <c r="F115" s="15"/>
      <c r="G115" s="15"/>
      <c r="H115" s="44" t="s">
        <v>62</v>
      </c>
      <c r="I115" s="51">
        <f>2/3</f>
        <v>0.6666666667</v>
      </c>
      <c r="J115" s="46">
        <v>0.5</v>
      </c>
      <c r="K115" s="13"/>
    </row>
    <row r="116">
      <c r="A116" s="13"/>
      <c r="B116" s="13"/>
      <c r="C116" s="13"/>
      <c r="D116" s="13"/>
      <c r="E116" s="42" t="s">
        <v>63</v>
      </c>
      <c r="F116" s="43">
        <f>(J116*I116)+(I117*J117)</f>
        <v>0.4</v>
      </c>
      <c r="G116" s="43">
        <v>0.4</v>
      </c>
      <c r="H116" s="44" t="s">
        <v>64</v>
      </c>
      <c r="I116" s="45">
        <v>0.0</v>
      </c>
      <c r="J116" s="47">
        <v>0.6</v>
      </c>
      <c r="K116" s="13"/>
    </row>
    <row r="117">
      <c r="A117" s="15"/>
      <c r="B117" s="15"/>
      <c r="C117" s="15"/>
      <c r="D117" s="15"/>
      <c r="E117" s="15"/>
      <c r="F117" s="15"/>
      <c r="G117" s="15"/>
      <c r="H117" s="44" t="s">
        <v>65</v>
      </c>
      <c r="I117" s="45">
        <f>100/100</f>
        <v>1</v>
      </c>
      <c r="J117" s="47">
        <v>0.4</v>
      </c>
      <c r="K117" s="15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</row>
    <row r="118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</row>
    <row r="119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</row>
    <row r="120">
      <c r="A120" s="49" t="s">
        <v>71</v>
      </c>
      <c r="B120" s="6" t="s">
        <v>12</v>
      </c>
      <c r="C120" s="7">
        <f>(G120*F120)+(G124*F124)+(G126*F126)+(G129*F129)</f>
        <v>0.847492</v>
      </c>
      <c r="D120" s="7">
        <v>0.3</v>
      </c>
      <c r="E120" s="6" t="s">
        <v>13</v>
      </c>
      <c r="F120" s="7">
        <f>(J120*I120)+(J121*I121)+(J122*I122)+(J123*I123)</f>
        <v>0.9083</v>
      </c>
      <c r="G120" s="7">
        <v>0.3</v>
      </c>
      <c r="H120" s="8" t="s">
        <v>14</v>
      </c>
      <c r="I120" s="9">
        <v>0.79</v>
      </c>
      <c r="J120" s="10">
        <v>0.15</v>
      </c>
      <c r="K120" s="11">
        <f>(C120*D120)+(C131*D131)+(C142*D142)+(C146*D146)+(C153*D153)</f>
        <v>0.82162885</v>
      </c>
    </row>
    <row r="121">
      <c r="A121" s="13"/>
      <c r="B121" s="13"/>
      <c r="C121" s="13"/>
      <c r="D121" s="13"/>
      <c r="E121" s="13"/>
      <c r="F121" s="13"/>
      <c r="G121" s="13"/>
      <c r="H121" s="8" t="s">
        <v>15</v>
      </c>
      <c r="I121" s="9">
        <v>0.95</v>
      </c>
      <c r="J121" s="10">
        <v>0.5</v>
      </c>
      <c r="K121" s="13"/>
    </row>
    <row r="122">
      <c r="A122" s="13"/>
      <c r="B122" s="13"/>
      <c r="C122" s="13"/>
      <c r="D122" s="13"/>
      <c r="E122" s="13"/>
      <c r="F122" s="13"/>
      <c r="G122" s="13"/>
      <c r="H122" s="8" t="s">
        <v>16</v>
      </c>
      <c r="I122" s="14">
        <f>9.12/10</f>
        <v>0.912</v>
      </c>
      <c r="J122" s="10">
        <v>0.15</v>
      </c>
      <c r="K122" s="13"/>
    </row>
    <row r="123">
      <c r="A123" s="13"/>
      <c r="B123" s="13"/>
      <c r="C123" s="13"/>
      <c r="D123" s="13"/>
      <c r="E123" s="15"/>
      <c r="F123" s="15"/>
      <c r="G123" s="15"/>
      <c r="H123" s="8" t="s">
        <v>17</v>
      </c>
      <c r="I123" s="9">
        <v>0.89</v>
      </c>
      <c r="J123" s="10">
        <v>0.2</v>
      </c>
      <c r="K123" s="13"/>
    </row>
    <row r="124">
      <c r="A124" s="13"/>
      <c r="B124" s="13"/>
      <c r="C124" s="13"/>
      <c r="D124" s="13"/>
      <c r="E124" s="6" t="s">
        <v>18</v>
      </c>
      <c r="F124" s="7">
        <f>(J124*I124)+(I125*J125)</f>
        <v>0.922</v>
      </c>
      <c r="G124" s="7">
        <v>0.25</v>
      </c>
      <c r="H124" s="8" t="s">
        <v>19</v>
      </c>
      <c r="I124" s="9">
        <v>1.0</v>
      </c>
      <c r="J124" s="10">
        <v>0.7</v>
      </c>
      <c r="K124" s="13"/>
    </row>
    <row r="125">
      <c r="A125" s="13"/>
      <c r="B125" s="13"/>
      <c r="C125" s="13"/>
      <c r="D125" s="13"/>
      <c r="E125" s="15"/>
      <c r="F125" s="15"/>
      <c r="G125" s="15"/>
      <c r="H125" s="8" t="s">
        <v>20</v>
      </c>
      <c r="I125" s="9">
        <f>2.96/4</f>
        <v>0.74</v>
      </c>
      <c r="J125" s="10">
        <v>0.3</v>
      </c>
      <c r="K125" s="13"/>
    </row>
    <row r="126">
      <c r="A126" s="13"/>
      <c r="B126" s="13"/>
      <c r="C126" s="13"/>
      <c r="D126" s="13"/>
      <c r="E126" s="6" t="s">
        <v>21</v>
      </c>
      <c r="F126" s="7">
        <f>(J126*I126)+(I127*J127)+(I128*J128)</f>
        <v>0.75334</v>
      </c>
      <c r="G126" s="7">
        <v>0.3</v>
      </c>
      <c r="H126" s="8" t="s">
        <v>22</v>
      </c>
      <c r="I126" s="14">
        <f>70.24/100</f>
        <v>0.7024</v>
      </c>
      <c r="J126" s="10">
        <v>0.35</v>
      </c>
      <c r="K126" s="13"/>
    </row>
    <row r="127">
      <c r="A127" s="13"/>
      <c r="B127" s="13"/>
      <c r="C127" s="13"/>
      <c r="D127" s="13"/>
      <c r="E127" s="13"/>
      <c r="F127" s="13"/>
      <c r="G127" s="13"/>
      <c r="H127" s="8" t="s">
        <v>23</v>
      </c>
      <c r="I127" s="9">
        <f>63/100</f>
        <v>0.63</v>
      </c>
      <c r="J127" s="10">
        <v>0.3</v>
      </c>
      <c r="K127" s="13"/>
    </row>
    <row r="128">
      <c r="A128" s="13"/>
      <c r="B128" s="13"/>
      <c r="C128" s="13"/>
      <c r="D128" s="13"/>
      <c r="E128" s="15"/>
      <c r="F128" s="15"/>
      <c r="G128" s="15"/>
      <c r="H128" s="8" t="s">
        <v>24</v>
      </c>
      <c r="I128" s="9">
        <v>0.91</v>
      </c>
      <c r="J128" s="10">
        <v>0.35</v>
      </c>
      <c r="K128" s="13"/>
    </row>
    <row r="129">
      <c r="A129" s="13"/>
      <c r="B129" s="13"/>
      <c r="C129" s="13"/>
      <c r="D129" s="13"/>
      <c r="E129" s="6" t="s">
        <v>25</v>
      </c>
      <c r="F129" s="7">
        <f>(J129*I129)+(I130*J130)</f>
        <v>0.79</v>
      </c>
      <c r="G129" s="7">
        <v>0.15</v>
      </c>
      <c r="H129" s="8" t="s">
        <v>26</v>
      </c>
      <c r="I129" s="9">
        <v>0.69</v>
      </c>
      <c r="J129" s="10">
        <v>0.6</v>
      </c>
      <c r="K129" s="13"/>
    </row>
    <row r="130">
      <c r="A130" s="13"/>
      <c r="B130" s="15"/>
      <c r="C130" s="15"/>
      <c r="D130" s="15"/>
      <c r="E130" s="15"/>
      <c r="F130" s="15"/>
      <c r="G130" s="15"/>
      <c r="H130" s="16" t="s">
        <v>27</v>
      </c>
      <c r="I130" s="9">
        <f>3.76/4</f>
        <v>0.94</v>
      </c>
      <c r="J130" s="17">
        <v>0.4</v>
      </c>
      <c r="K130" s="13"/>
    </row>
    <row r="131">
      <c r="A131" s="13"/>
      <c r="B131" s="18" t="s">
        <v>28</v>
      </c>
      <c r="C131" s="19">
        <f>(G131*F131)+(F135*G135)+(F139*G139)</f>
        <v>0.7512875</v>
      </c>
      <c r="D131" s="19">
        <v>0.2</v>
      </c>
      <c r="E131" s="20" t="s">
        <v>29</v>
      </c>
      <c r="F131" s="19">
        <f>(J131*I131)+(J132*I132)+(J133*I133)+(J134*I134)</f>
        <v>0.594</v>
      </c>
      <c r="G131" s="19">
        <v>0.35</v>
      </c>
      <c r="H131" s="21" t="s">
        <v>30</v>
      </c>
      <c r="I131" s="22">
        <f>9/10</f>
        <v>0.9</v>
      </c>
      <c r="J131" s="23">
        <v>0.3</v>
      </c>
      <c r="K131" s="13"/>
    </row>
    <row r="132">
      <c r="A132" s="13"/>
      <c r="B132" s="13"/>
      <c r="C132" s="13"/>
      <c r="D132" s="13"/>
      <c r="E132" s="13"/>
      <c r="F132" s="13"/>
      <c r="G132" s="13"/>
      <c r="H132" s="21" t="s">
        <v>31</v>
      </c>
      <c r="I132" s="24">
        <f>0.94/4</f>
        <v>0.235</v>
      </c>
      <c r="J132" s="23">
        <v>0.2</v>
      </c>
      <c r="K132" s="13"/>
    </row>
    <row r="133">
      <c r="A133" s="13"/>
      <c r="B133" s="13"/>
      <c r="C133" s="13"/>
      <c r="D133" s="13"/>
      <c r="E133" s="13"/>
      <c r="F133" s="13"/>
      <c r="G133" s="13"/>
      <c r="H133" s="21" t="s">
        <v>32</v>
      </c>
      <c r="I133" s="24">
        <f>2.93/4</f>
        <v>0.7325</v>
      </c>
      <c r="J133" s="23">
        <v>0.2</v>
      </c>
      <c r="K133" s="13"/>
    </row>
    <row r="134">
      <c r="A134" s="13"/>
      <c r="B134" s="13"/>
      <c r="C134" s="13"/>
      <c r="D134" s="13"/>
      <c r="E134" s="15"/>
      <c r="F134" s="15"/>
      <c r="G134" s="15"/>
      <c r="H134" s="21" t="s">
        <v>33</v>
      </c>
      <c r="I134" s="22">
        <f>1.74/4</f>
        <v>0.435</v>
      </c>
      <c r="J134" s="23">
        <v>0.3</v>
      </c>
      <c r="K134" s="13"/>
    </row>
    <row r="135">
      <c r="A135" s="13"/>
      <c r="B135" s="13"/>
      <c r="C135" s="13"/>
      <c r="D135" s="13"/>
      <c r="E135" s="25" t="s">
        <v>34</v>
      </c>
      <c r="F135" s="19">
        <f>(J135*I135)+(J136*I136)+(J137*I137)</f>
        <v>0.9155</v>
      </c>
      <c r="G135" s="19">
        <v>0.4</v>
      </c>
      <c r="H135" s="21" t="s">
        <v>35</v>
      </c>
      <c r="I135" s="22">
        <v>0.878</v>
      </c>
      <c r="J135" s="23">
        <v>0.5</v>
      </c>
      <c r="K135" s="13"/>
    </row>
    <row r="136">
      <c r="A136" s="13"/>
      <c r="B136" s="13"/>
      <c r="C136" s="13"/>
      <c r="D136" s="13"/>
      <c r="E136" s="13"/>
      <c r="F136" s="13"/>
      <c r="G136" s="13"/>
      <c r="H136" s="21" t="s">
        <v>36</v>
      </c>
      <c r="I136" s="22">
        <f>(100-6)/100</f>
        <v>0.94</v>
      </c>
      <c r="J136" s="23">
        <v>0.3</v>
      </c>
      <c r="K136" s="13"/>
    </row>
    <row r="137">
      <c r="A137" s="13"/>
      <c r="B137" s="13"/>
      <c r="C137" s="13"/>
      <c r="D137" s="13"/>
      <c r="E137" s="13"/>
      <c r="F137" s="13"/>
      <c r="G137" s="13"/>
      <c r="H137" s="26" t="s">
        <v>37</v>
      </c>
      <c r="I137" s="27">
        <f>3.89/4</f>
        <v>0.9725</v>
      </c>
      <c r="J137" s="19">
        <v>0.2</v>
      </c>
      <c r="K137" s="13"/>
    </row>
    <row r="138">
      <c r="A138" s="13"/>
      <c r="B138" s="13"/>
      <c r="C138" s="13"/>
      <c r="D138" s="13"/>
      <c r="E138" s="15"/>
      <c r="F138" s="15"/>
      <c r="G138" s="15"/>
      <c r="H138" s="15"/>
      <c r="I138" s="15"/>
      <c r="J138" s="15"/>
      <c r="K138" s="13"/>
    </row>
    <row r="139">
      <c r="A139" s="13"/>
      <c r="B139" s="13"/>
      <c r="C139" s="13"/>
      <c r="D139" s="13"/>
      <c r="E139" s="25" t="s">
        <v>38</v>
      </c>
      <c r="F139" s="19">
        <f>(J139*I139)+(I140*J140)+(I141*J141)</f>
        <v>0.70875</v>
      </c>
      <c r="G139" s="19">
        <v>0.25</v>
      </c>
      <c r="H139" s="21" t="s">
        <v>39</v>
      </c>
      <c r="I139" s="22">
        <f>(100-43)/100</f>
        <v>0.57</v>
      </c>
      <c r="J139" s="23">
        <v>0.25</v>
      </c>
      <c r="K139" s="13"/>
    </row>
    <row r="140">
      <c r="A140" s="13"/>
      <c r="B140" s="13"/>
      <c r="C140" s="13"/>
      <c r="D140" s="13"/>
      <c r="E140" s="13"/>
      <c r="F140" s="13"/>
      <c r="G140" s="13"/>
      <c r="H140" s="21" t="s">
        <v>40</v>
      </c>
      <c r="I140" s="24">
        <f>2.66/4</f>
        <v>0.665</v>
      </c>
      <c r="J140" s="23">
        <v>0.5</v>
      </c>
      <c r="K140" s="13"/>
    </row>
    <row r="141">
      <c r="A141" s="13"/>
      <c r="B141" s="15"/>
      <c r="C141" s="15"/>
      <c r="D141" s="15"/>
      <c r="E141" s="15"/>
      <c r="F141" s="15"/>
      <c r="G141" s="15"/>
      <c r="H141" s="21" t="s">
        <v>41</v>
      </c>
      <c r="I141" s="24">
        <f>(100-6.5)/100</f>
        <v>0.935</v>
      </c>
      <c r="J141" s="23">
        <v>0.25</v>
      </c>
      <c r="K141" s="13"/>
    </row>
    <row r="142">
      <c r="A142" s="13"/>
      <c r="B142" s="28" t="s">
        <v>42</v>
      </c>
      <c r="C142" s="29">
        <f>(G142*F142)+(F144*G144)</f>
        <v>0.7797</v>
      </c>
      <c r="D142" s="29">
        <v>0.2</v>
      </c>
      <c r="E142" s="30" t="s">
        <v>43</v>
      </c>
      <c r="F142" s="29">
        <f>(J142*I142)+(I143*J143)</f>
        <v>0.8526666667</v>
      </c>
      <c r="G142" s="29">
        <v>0.45</v>
      </c>
      <c r="H142" s="31" t="s">
        <v>44</v>
      </c>
      <c r="I142" s="32">
        <v>0.93</v>
      </c>
      <c r="J142" s="33">
        <v>0.6</v>
      </c>
      <c r="K142" s="13"/>
    </row>
    <row r="143">
      <c r="A143" s="13"/>
      <c r="B143" s="13"/>
      <c r="C143" s="13"/>
      <c r="D143" s="13"/>
      <c r="E143" s="15"/>
      <c r="F143" s="15"/>
      <c r="G143" s="15"/>
      <c r="H143" s="31" t="s">
        <v>45</v>
      </c>
      <c r="I143" s="34">
        <f>2.21/3</f>
        <v>0.7366666667</v>
      </c>
      <c r="J143" s="33">
        <v>0.4</v>
      </c>
      <c r="K143" s="13"/>
    </row>
    <row r="144">
      <c r="A144" s="13"/>
      <c r="B144" s="13"/>
      <c r="C144" s="13"/>
      <c r="D144" s="13"/>
      <c r="E144" s="30" t="s">
        <v>46</v>
      </c>
      <c r="F144" s="29">
        <f>(J144*I144)+(I145*J145)</f>
        <v>0.72</v>
      </c>
      <c r="G144" s="29">
        <v>0.55</v>
      </c>
      <c r="H144" s="31" t="s">
        <v>47</v>
      </c>
      <c r="I144" s="34">
        <f>((7+7+8)/3)/10</f>
        <v>0.7333333333</v>
      </c>
      <c r="J144" s="33">
        <v>0.6</v>
      </c>
      <c r="K144" s="13"/>
    </row>
    <row r="145">
      <c r="A145" s="13"/>
      <c r="B145" s="15"/>
      <c r="C145" s="15"/>
      <c r="D145" s="15"/>
      <c r="E145" s="15"/>
      <c r="F145" s="15"/>
      <c r="G145" s="15"/>
      <c r="H145" s="31" t="s">
        <v>48</v>
      </c>
      <c r="I145" s="32">
        <v>0.7</v>
      </c>
      <c r="J145" s="33">
        <v>0.4</v>
      </c>
      <c r="K145" s="13"/>
    </row>
    <row r="146">
      <c r="A146" s="13"/>
      <c r="B146" s="35" t="s">
        <v>49</v>
      </c>
      <c r="C146" s="36">
        <f>(F146*G146)+(F150*G150)</f>
        <v>0.97591875</v>
      </c>
      <c r="D146" s="36">
        <v>0.2</v>
      </c>
      <c r="E146" s="37" t="s">
        <v>50</v>
      </c>
      <c r="F146" s="36">
        <f>(J146*I146)+(J147*I147)+(J148*I148)+(J149*I149)</f>
        <v>0.970125</v>
      </c>
      <c r="G146" s="36">
        <v>0.55</v>
      </c>
      <c r="H146" s="38" t="s">
        <v>51</v>
      </c>
      <c r="I146" s="39">
        <v>0.96</v>
      </c>
      <c r="J146" s="40">
        <v>0.35</v>
      </c>
      <c r="K146" s="13"/>
    </row>
    <row r="147">
      <c r="A147" s="13"/>
      <c r="B147" s="13"/>
      <c r="C147" s="13"/>
      <c r="D147" s="13"/>
      <c r="E147" s="13"/>
      <c r="F147" s="13"/>
      <c r="G147" s="13"/>
      <c r="H147" s="38" t="s">
        <v>52</v>
      </c>
      <c r="I147" s="39">
        <f>3.84/4</f>
        <v>0.96</v>
      </c>
      <c r="J147" s="40">
        <v>0.35</v>
      </c>
      <c r="K147" s="13"/>
    </row>
    <row r="148">
      <c r="A148" s="13"/>
      <c r="B148" s="13"/>
      <c r="C148" s="13"/>
      <c r="D148" s="13"/>
      <c r="E148" s="13"/>
      <c r="F148" s="13"/>
      <c r="G148" s="13"/>
      <c r="H148" s="38" t="s">
        <v>53</v>
      </c>
      <c r="I148" s="41">
        <f>3.95/4</f>
        <v>0.9875</v>
      </c>
      <c r="J148" s="40">
        <v>0.15</v>
      </c>
      <c r="K148" s="13"/>
    </row>
    <row r="149">
      <c r="A149" s="13"/>
      <c r="B149" s="13"/>
      <c r="C149" s="13"/>
      <c r="D149" s="13"/>
      <c r="E149" s="15"/>
      <c r="F149" s="15"/>
      <c r="G149" s="15"/>
      <c r="H149" s="38" t="s">
        <v>54</v>
      </c>
      <c r="I149" s="39">
        <v>1.0</v>
      </c>
      <c r="J149" s="40">
        <v>0.15</v>
      </c>
      <c r="K149" s="13"/>
    </row>
    <row r="150">
      <c r="A150" s="13"/>
      <c r="B150" s="13"/>
      <c r="C150" s="13"/>
      <c r="D150" s="13"/>
      <c r="E150" s="35" t="s">
        <v>55</v>
      </c>
      <c r="F150" s="36">
        <f>(J150*I150)+(I151*J151)+(I152*J152)</f>
        <v>0.983</v>
      </c>
      <c r="G150" s="36">
        <v>0.45</v>
      </c>
      <c r="H150" s="38" t="s">
        <v>56</v>
      </c>
      <c r="I150" s="39">
        <f>3.96/4</f>
        <v>0.99</v>
      </c>
      <c r="J150" s="40">
        <v>0.3</v>
      </c>
      <c r="K150" s="13"/>
    </row>
    <row r="151">
      <c r="A151" s="13"/>
      <c r="B151" s="13"/>
      <c r="C151" s="13"/>
      <c r="D151" s="13"/>
      <c r="E151" s="13"/>
      <c r="F151" s="13"/>
      <c r="G151" s="13"/>
      <c r="H151" s="38" t="s">
        <v>57</v>
      </c>
      <c r="I151" s="39">
        <f t="shared" ref="I151:I152" si="1">3.92/4</f>
        <v>0.98</v>
      </c>
      <c r="J151" s="40">
        <v>0.3</v>
      </c>
      <c r="K151" s="13"/>
    </row>
    <row r="152">
      <c r="A152" s="13"/>
      <c r="B152" s="15"/>
      <c r="C152" s="15"/>
      <c r="D152" s="15"/>
      <c r="E152" s="15"/>
      <c r="F152" s="15"/>
      <c r="G152" s="15"/>
      <c r="H152" s="38" t="s">
        <v>58</v>
      </c>
      <c r="I152" s="39">
        <f t="shared" si="1"/>
        <v>0.98</v>
      </c>
      <c r="J152" s="40">
        <v>0.4</v>
      </c>
      <c r="K152" s="13"/>
    </row>
    <row r="153">
      <c r="A153" s="13"/>
      <c r="B153" s="42" t="s">
        <v>59</v>
      </c>
      <c r="C153" s="43">
        <f>(F153*G153)+(F155*G155)</f>
        <v>0.66</v>
      </c>
      <c r="D153" s="43">
        <v>0.1</v>
      </c>
      <c r="E153" s="42" t="s">
        <v>60</v>
      </c>
      <c r="F153" s="43">
        <f>(J153*I153)+(I154*J154)</f>
        <v>0.8333333333</v>
      </c>
      <c r="G153" s="43">
        <v>0.6</v>
      </c>
      <c r="H153" s="44" t="s">
        <v>61</v>
      </c>
      <c r="I153" s="45">
        <v>1.0</v>
      </c>
      <c r="J153" s="46">
        <v>0.5</v>
      </c>
      <c r="K153" s="13"/>
    </row>
    <row r="154">
      <c r="A154" s="13"/>
      <c r="B154" s="13"/>
      <c r="C154" s="13"/>
      <c r="D154" s="13"/>
      <c r="E154" s="15"/>
      <c r="F154" s="15"/>
      <c r="G154" s="15"/>
      <c r="H154" s="44" t="s">
        <v>62</v>
      </c>
      <c r="I154" s="51">
        <f>2/3</f>
        <v>0.6666666667</v>
      </c>
      <c r="J154" s="46">
        <v>0.5</v>
      </c>
      <c r="K154" s="13"/>
    </row>
    <row r="155">
      <c r="A155" s="13"/>
      <c r="B155" s="13"/>
      <c r="C155" s="13"/>
      <c r="D155" s="13"/>
      <c r="E155" s="42" t="s">
        <v>63</v>
      </c>
      <c r="F155" s="43">
        <f>(J155*I155)+(I156*J156)</f>
        <v>0.4</v>
      </c>
      <c r="G155" s="43">
        <v>0.4</v>
      </c>
      <c r="H155" s="44" t="s">
        <v>64</v>
      </c>
      <c r="I155" s="45">
        <v>0.0</v>
      </c>
      <c r="J155" s="47">
        <v>0.6</v>
      </c>
      <c r="K155" s="13"/>
    </row>
    <row r="156">
      <c r="A156" s="15"/>
      <c r="B156" s="15"/>
      <c r="C156" s="15"/>
      <c r="D156" s="15"/>
      <c r="E156" s="15"/>
      <c r="F156" s="15"/>
      <c r="G156" s="15"/>
      <c r="H156" s="44" t="s">
        <v>65</v>
      </c>
      <c r="I156" s="45">
        <f>100/100</f>
        <v>1</v>
      </c>
      <c r="J156" s="47">
        <v>0.4</v>
      </c>
      <c r="K156" s="15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</row>
    <row r="159">
      <c r="A159" s="49" t="s">
        <v>72</v>
      </c>
      <c r="B159" s="6" t="s">
        <v>12</v>
      </c>
      <c r="C159" s="7">
        <f>(G159*F159)+(G163*F163)+(G165*F165)+(G168*F168)</f>
        <v>0.661168</v>
      </c>
      <c r="D159" s="7">
        <v>0.3</v>
      </c>
      <c r="E159" s="6" t="s">
        <v>13</v>
      </c>
      <c r="F159" s="7">
        <f>(J159*I159)+(J160*I160)+(J161*I161)+(J162*I162)</f>
        <v>0.70375</v>
      </c>
      <c r="G159" s="7">
        <v>0.3</v>
      </c>
      <c r="H159" s="8" t="s">
        <v>14</v>
      </c>
      <c r="I159" s="9">
        <v>0.64</v>
      </c>
      <c r="J159" s="10">
        <v>0.15</v>
      </c>
      <c r="K159" s="11">
        <f>(C159*D159)+(C170*D170)+(C181*D181)+(C185*D185)+(C192*D192)</f>
        <v>0.69265415</v>
      </c>
    </row>
    <row r="160">
      <c r="A160" s="13"/>
      <c r="B160" s="13"/>
      <c r="C160" s="13"/>
      <c r="D160" s="13"/>
      <c r="E160" s="13"/>
      <c r="F160" s="13"/>
      <c r="G160" s="13"/>
      <c r="H160" s="8" t="s">
        <v>15</v>
      </c>
      <c r="I160" s="9">
        <v>0.75</v>
      </c>
      <c r="J160" s="10">
        <v>0.5</v>
      </c>
      <c r="K160" s="13"/>
    </row>
    <row r="161">
      <c r="A161" s="13"/>
      <c r="B161" s="13"/>
      <c r="C161" s="13"/>
      <c r="D161" s="13"/>
      <c r="E161" s="13"/>
      <c r="F161" s="13"/>
      <c r="G161" s="13"/>
      <c r="H161" s="8" t="s">
        <v>16</v>
      </c>
      <c r="I161" s="14">
        <f>7.65/10</f>
        <v>0.765</v>
      </c>
      <c r="J161" s="10">
        <v>0.15</v>
      </c>
      <c r="K161" s="13"/>
    </row>
    <row r="162">
      <c r="A162" s="13"/>
      <c r="B162" s="13"/>
      <c r="C162" s="13"/>
      <c r="D162" s="13"/>
      <c r="E162" s="15"/>
      <c r="F162" s="15"/>
      <c r="G162" s="15"/>
      <c r="H162" s="8" t="s">
        <v>17</v>
      </c>
      <c r="I162" s="9">
        <v>0.59</v>
      </c>
      <c r="J162" s="10">
        <v>0.2</v>
      </c>
      <c r="K162" s="13"/>
    </row>
    <row r="163">
      <c r="A163" s="13"/>
      <c r="B163" s="13"/>
      <c r="C163" s="13"/>
      <c r="D163" s="13"/>
      <c r="E163" s="6" t="s">
        <v>18</v>
      </c>
      <c r="F163" s="7">
        <f>(J163*I163)+(I164*J164)</f>
        <v>0.74275</v>
      </c>
      <c r="G163" s="7">
        <v>0.25</v>
      </c>
      <c r="H163" s="8" t="s">
        <v>19</v>
      </c>
      <c r="I163" s="9">
        <v>0.7</v>
      </c>
      <c r="J163" s="10">
        <v>0.7</v>
      </c>
      <c r="K163" s="13"/>
    </row>
    <row r="164">
      <c r="A164" s="13"/>
      <c r="B164" s="13"/>
      <c r="C164" s="13"/>
      <c r="D164" s="13"/>
      <c r="E164" s="15"/>
      <c r="F164" s="15"/>
      <c r="G164" s="15"/>
      <c r="H164" s="8" t="s">
        <v>20</v>
      </c>
      <c r="I164" s="14">
        <f>3.37/4</f>
        <v>0.8425</v>
      </c>
      <c r="J164" s="10">
        <v>0.3</v>
      </c>
      <c r="K164" s="13"/>
    </row>
    <row r="165">
      <c r="A165" s="13"/>
      <c r="B165" s="13"/>
      <c r="C165" s="13"/>
      <c r="D165" s="13"/>
      <c r="E165" s="6" t="s">
        <v>21</v>
      </c>
      <c r="F165" s="7">
        <f>(J165*I165)+(I166*J166)+(I167*J167)</f>
        <v>0.548185</v>
      </c>
      <c r="G165" s="7">
        <v>0.3</v>
      </c>
      <c r="H165" s="8" t="s">
        <v>22</v>
      </c>
      <c r="I165" s="14">
        <f>41.91/100</f>
        <v>0.4191</v>
      </c>
      <c r="J165" s="10">
        <v>0.35</v>
      </c>
      <c r="K165" s="13"/>
    </row>
    <row r="166">
      <c r="A166" s="13"/>
      <c r="B166" s="13"/>
      <c r="C166" s="13"/>
      <c r="D166" s="13"/>
      <c r="E166" s="13"/>
      <c r="F166" s="13"/>
      <c r="G166" s="13"/>
      <c r="H166" s="8" t="s">
        <v>23</v>
      </c>
      <c r="I166" s="9">
        <f>37/100</f>
        <v>0.37</v>
      </c>
      <c r="J166" s="10">
        <v>0.3</v>
      </c>
      <c r="K166" s="13"/>
    </row>
    <row r="167">
      <c r="A167" s="13"/>
      <c r="B167" s="13"/>
      <c r="C167" s="13"/>
      <c r="D167" s="13"/>
      <c r="E167" s="15"/>
      <c r="F167" s="15"/>
      <c r="G167" s="15"/>
      <c r="H167" s="8" t="s">
        <v>24</v>
      </c>
      <c r="I167" s="9">
        <v>0.83</v>
      </c>
      <c r="J167" s="10">
        <v>0.35</v>
      </c>
      <c r="K167" s="13"/>
    </row>
    <row r="168">
      <c r="A168" s="13"/>
      <c r="B168" s="13"/>
      <c r="C168" s="13"/>
      <c r="D168" s="13"/>
      <c r="E168" s="6" t="s">
        <v>25</v>
      </c>
      <c r="F168" s="7">
        <f>(J168*I168)+(I169*J169)</f>
        <v>0.666</v>
      </c>
      <c r="G168" s="7">
        <v>0.15</v>
      </c>
      <c r="H168" s="8" t="s">
        <v>26</v>
      </c>
      <c r="I168" s="9">
        <v>0.61</v>
      </c>
      <c r="J168" s="10">
        <v>0.6</v>
      </c>
      <c r="K168" s="13"/>
    </row>
    <row r="169">
      <c r="A169" s="13"/>
      <c r="B169" s="15"/>
      <c r="C169" s="15"/>
      <c r="D169" s="15"/>
      <c r="E169" s="15"/>
      <c r="F169" s="15"/>
      <c r="G169" s="15"/>
      <c r="H169" s="16" t="s">
        <v>27</v>
      </c>
      <c r="I169" s="9">
        <f>3/4</f>
        <v>0.75</v>
      </c>
      <c r="J169" s="17">
        <v>0.4</v>
      </c>
      <c r="K169" s="13"/>
    </row>
    <row r="170">
      <c r="A170" s="13"/>
      <c r="B170" s="18" t="s">
        <v>28</v>
      </c>
      <c r="C170" s="19">
        <f>(G170*F170)+(F174*G174)+(F178*G178)</f>
        <v>0.6041625</v>
      </c>
      <c r="D170" s="19">
        <v>0.2</v>
      </c>
      <c r="E170" s="20" t="s">
        <v>29</v>
      </c>
      <c r="F170" s="19">
        <f>(J170*I170)+(J171*I171)+(J172*I172)+(J173*I173)</f>
        <v>0.3655</v>
      </c>
      <c r="G170" s="19">
        <v>0.35</v>
      </c>
      <c r="H170" s="21" t="s">
        <v>30</v>
      </c>
      <c r="I170" s="22">
        <f>6/10</f>
        <v>0.6</v>
      </c>
      <c r="J170" s="23">
        <v>0.3</v>
      </c>
      <c r="K170" s="13"/>
    </row>
    <row r="171">
      <c r="A171" s="13"/>
      <c r="B171" s="13"/>
      <c r="C171" s="13"/>
      <c r="D171" s="13"/>
      <c r="E171" s="13"/>
      <c r="F171" s="13"/>
      <c r="G171" s="13"/>
      <c r="H171" s="21" t="s">
        <v>31</v>
      </c>
      <c r="I171" s="22">
        <f>1.04/4</f>
        <v>0.26</v>
      </c>
      <c r="J171" s="23">
        <v>0.2</v>
      </c>
      <c r="K171" s="13"/>
    </row>
    <row r="172">
      <c r="A172" s="13"/>
      <c r="B172" s="13"/>
      <c r="C172" s="13"/>
      <c r="D172" s="13"/>
      <c r="E172" s="13"/>
      <c r="F172" s="13"/>
      <c r="G172" s="13"/>
      <c r="H172" s="21" t="s">
        <v>32</v>
      </c>
      <c r="I172" s="22">
        <f>1.2/4</f>
        <v>0.3</v>
      </c>
      <c r="J172" s="23">
        <v>0.2</v>
      </c>
      <c r="K172" s="13"/>
    </row>
    <row r="173">
      <c r="A173" s="13"/>
      <c r="B173" s="13"/>
      <c r="C173" s="13"/>
      <c r="D173" s="13"/>
      <c r="E173" s="15"/>
      <c r="F173" s="15"/>
      <c r="G173" s="15"/>
      <c r="H173" s="21" t="s">
        <v>33</v>
      </c>
      <c r="I173" s="22">
        <f>0.98/4</f>
        <v>0.245</v>
      </c>
      <c r="J173" s="23">
        <v>0.3</v>
      </c>
      <c r="K173" s="13"/>
    </row>
    <row r="174">
      <c r="A174" s="13"/>
      <c r="B174" s="13"/>
      <c r="C174" s="13"/>
      <c r="D174" s="13"/>
      <c r="E174" s="25" t="s">
        <v>34</v>
      </c>
      <c r="F174" s="19">
        <f>(J174*I174)+(J175*I175)+(J176*I176)</f>
        <v>0.8245</v>
      </c>
      <c r="G174" s="19">
        <v>0.4</v>
      </c>
      <c r="H174" s="21" t="s">
        <v>35</v>
      </c>
      <c r="I174" s="22">
        <v>0.788</v>
      </c>
      <c r="J174" s="23">
        <v>0.5</v>
      </c>
      <c r="K174" s="13"/>
    </row>
    <row r="175">
      <c r="A175" s="13"/>
      <c r="B175" s="13"/>
      <c r="C175" s="13"/>
      <c r="D175" s="13"/>
      <c r="E175" s="13"/>
      <c r="F175" s="13"/>
      <c r="G175" s="13"/>
      <c r="H175" s="21" t="s">
        <v>36</v>
      </c>
      <c r="I175" s="22">
        <f>(100-11)/100</f>
        <v>0.89</v>
      </c>
      <c r="J175" s="23">
        <v>0.3</v>
      </c>
      <c r="K175" s="13"/>
    </row>
    <row r="176">
      <c r="A176" s="13"/>
      <c r="B176" s="13"/>
      <c r="C176" s="13"/>
      <c r="D176" s="13"/>
      <c r="E176" s="13"/>
      <c r="F176" s="13"/>
      <c r="G176" s="13"/>
      <c r="H176" s="26" t="s">
        <v>37</v>
      </c>
      <c r="I176" s="27">
        <f>3.27/4</f>
        <v>0.8175</v>
      </c>
      <c r="J176" s="19">
        <v>0.2</v>
      </c>
      <c r="K176" s="13"/>
    </row>
    <row r="177">
      <c r="A177" s="13"/>
      <c r="B177" s="13"/>
      <c r="C177" s="13"/>
      <c r="D177" s="13"/>
      <c r="E177" s="15"/>
      <c r="F177" s="15"/>
      <c r="G177" s="15"/>
      <c r="H177" s="15"/>
      <c r="I177" s="15"/>
      <c r="J177" s="15"/>
      <c r="K177" s="13"/>
    </row>
    <row r="178">
      <c r="A178" s="13"/>
      <c r="B178" s="13"/>
      <c r="C178" s="13"/>
      <c r="D178" s="13"/>
      <c r="E178" s="25" t="s">
        <v>38</v>
      </c>
      <c r="F178" s="19">
        <f>(J178*I178)+(I179*J179)+(I180*J180)</f>
        <v>0.58575</v>
      </c>
      <c r="G178" s="19">
        <v>0.25</v>
      </c>
      <c r="H178" s="21" t="s">
        <v>39</v>
      </c>
      <c r="I178" s="24">
        <f>(100-54.4)/100</f>
        <v>0.456</v>
      </c>
      <c r="J178" s="23">
        <v>0.25</v>
      </c>
      <c r="K178" s="13"/>
    </row>
    <row r="179">
      <c r="A179" s="13"/>
      <c r="B179" s="13"/>
      <c r="C179" s="13"/>
      <c r="D179" s="13"/>
      <c r="E179" s="13"/>
      <c r="F179" s="13"/>
      <c r="G179" s="13"/>
      <c r="H179" s="21" t="s">
        <v>40</v>
      </c>
      <c r="I179" s="24">
        <f>2.41/4</f>
        <v>0.6025</v>
      </c>
      <c r="J179" s="23">
        <v>0.5</v>
      </c>
      <c r="K179" s="13"/>
    </row>
    <row r="180">
      <c r="A180" s="13"/>
      <c r="B180" s="15"/>
      <c r="C180" s="15"/>
      <c r="D180" s="15"/>
      <c r="E180" s="15"/>
      <c r="F180" s="15"/>
      <c r="G180" s="15"/>
      <c r="H180" s="21" t="s">
        <v>41</v>
      </c>
      <c r="I180" s="24">
        <f>(100-31.8)/100</f>
        <v>0.682</v>
      </c>
      <c r="J180" s="23">
        <v>0.25</v>
      </c>
      <c r="K180" s="13"/>
    </row>
    <row r="181">
      <c r="A181" s="13"/>
      <c r="B181" s="28" t="s">
        <v>42</v>
      </c>
      <c r="C181" s="29">
        <f>(G181*F181)+(F183*G183)</f>
        <v>0.5738</v>
      </c>
      <c r="D181" s="29">
        <v>0.2</v>
      </c>
      <c r="E181" s="30" t="s">
        <v>43</v>
      </c>
      <c r="F181" s="29">
        <f>(J181*I181)+(I182*J182)</f>
        <v>0.5906666667</v>
      </c>
      <c r="G181" s="29">
        <v>0.45</v>
      </c>
      <c r="H181" s="31" t="s">
        <v>44</v>
      </c>
      <c r="I181" s="32">
        <v>0.62</v>
      </c>
      <c r="J181" s="33">
        <v>0.6</v>
      </c>
      <c r="K181" s="13"/>
    </row>
    <row r="182">
      <c r="A182" s="13"/>
      <c r="B182" s="13"/>
      <c r="C182" s="13"/>
      <c r="D182" s="13"/>
      <c r="E182" s="15"/>
      <c r="F182" s="15"/>
      <c r="G182" s="15"/>
      <c r="H182" s="31" t="s">
        <v>45</v>
      </c>
      <c r="I182" s="34">
        <f>1.64/3</f>
        <v>0.5466666667</v>
      </c>
      <c r="J182" s="33">
        <v>0.4</v>
      </c>
      <c r="K182" s="13"/>
    </row>
    <row r="183">
      <c r="A183" s="13"/>
      <c r="B183" s="13"/>
      <c r="C183" s="13"/>
      <c r="D183" s="13"/>
      <c r="E183" s="30" t="s">
        <v>46</v>
      </c>
      <c r="F183" s="29">
        <f>(J183*I183)+(I184*J184)</f>
        <v>0.56</v>
      </c>
      <c r="G183" s="29">
        <v>0.55</v>
      </c>
      <c r="H183" s="31" t="s">
        <v>47</v>
      </c>
      <c r="I183" s="34">
        <f>((6+5+5)/3)/10</f>
        <v>0.5333333333</v>
      </c>
      <c r="J183" s="33">
        <v>0.6</v>
      </c>
      <c r="K183" s="13"/>
    </row>
    <row r="184">
      <c r="A184" s="13"/>
      <c r="B184" s="15"/>
      <c r="C184" s="15"/>
      <c r="D184" s="15"/>
      <c r="E184" s="15"/>
      <c r="F184" s="15"/>
      <c r="G184" s="15"/>
      <c r="H184" s="31" t="s">
        <v>48</v>
      </c>
      <c r="I184" s="32">
        <v>0.6</v>
      </c>
      <c r="J184" s="33">
        <v>0.4</v>
      </c>
      <c r="K184" s="13"/>
    </row>
    <row r="185">
      <c r="A185" s="13"/>
      <c r="B185" s="35" t="s">
        <v>49</v>
      </c>
      <c r="C185" s="36">
        <f>(F185*G185)+(F189*G189)</f>
        <v>0.84355625</v>
      </c>
      <c r="D185" s="36">
        <v>0.2</v>
      </c>
      <c r="E185" s="37" t="s">
        <v>50</v>
      </c>
      <c r="F185" s="36">
        <f>(J185*I185)+(J186*I186)+(J187*I187)+(J188*I188)</f>
        <v>0.882875</v>
      </c>
      <c r="G185" s="36">
        <v>0.55</v>
      </c>
      <c r="H185" s="38" t="s">
        <v>51</v>
      </c>
      <c r="I185" s="39">
        <v>0.76</v>
      </c>
      <c r="J185" s="40">
        <v>0.35</v>
      </c>
      <c r="K185" s="13"/>
    </row>
    <row r="186">
      <c r="A186" s="13"/>
      <c r="B186" s="13"/>
      <c r="C186" s="13"/>
      <c r="D186" s="13"/>
      <c r="E186" s="13"/>
      <c r="F186" s="13"/>
      <c r="G186" s="13"/>
      <c r="H186" s="38" t="s">
        <v>52</v>
      </c>
      <c r="I186" s="39">
        <f>3.72/4</f>
        <v>0.93</v>
      </c>
      <c r="J186" s="40">
        <v>0.35</v>
      </c>
      <c r="K186" s="13"/>
    </row>
    <row r="187">
      <c r="A187" s="13"/>
      <c r="B187" s="13"/>
      <c r="C187" s="13"/>
      <c r="D187" s="13"/>
      <c r="E187" s="13"/>
      <c r="F187" s="13"/>
      <c r="G187" s="13"/>
      <c r="H187" s="38" t="s">
        <v>53</v>
      </c>
      <c r="I187" s="41">
        <f>3.77/4</f>
        <v>0.9425</v>
      </c>
      <c r="J187" s="40">
        <v>0.15</v>
      </c>
      <c r="K187" s="13"/>
    </row>
    <row r="188">
      <c r="A188" s="13"/>
      <c r="B188" s="13"/>
      <c r="C188" s="13"/>
      <c r="D188" s="13"/>
      <c r="E188" s="15"/>
      <c r="F188" s="15"/>
      <c r="G188" s="15"/>
      <c r="H188" s="38" t="s">
        <v>54</v>
      </c>
      <c r="I188" s="39">
        <v>1.0</v>
      </c>
      <c r="J188" s="40">
        <v>0.15</v>
      </c>
      <c r="K188" s="13"/>
    </row>
    <row r="189">
      <c r="A189" s="13"/>
      <c r="B189" s="13"/>
      <c r="C189" s="13"/>
      <c r="D189" s="13"/>
      <c r="E189" s="35" t="s">
        <v>55</v>
      </c>
      <c r="F189" s="36">
        <f>(J189*I189)+(I190*J190)+(I191*J191)</f>
        <v>0.7955</v>
      </c>
      <c r="G189" s="36">
        <v>0.45</v>
      </c>
      <c r="H189" s="38" t="s">
        <v>56</v>
      </c>
      <c r="I189" s="41">
        <f>2.18/4</f>
        <v>0.545</v>
      </c>
      <c r="J189" s="40">
        <v>0.3</v>
      </c>
      <c r="K189" s="13"/>
    </row>
    <row r="190">
      <c r="A190" s="13"/>
      <c r="B190" s="13"/>
      <c r="C190" s="13"/>
      <c r="D190" s="13"/>
      <c r="E190" s="13"/>
      <c r="F190" s="13"/>
      <c r="G190" s="13"/>
      <c r="H190" s="38" t="s">
        <v>57</v>
      </c>
      <c r="I190" s="39">
        <f>3.68/4</f>
        <v>0.92</v>
      </c>
      <c r="J190" s="40">
        <v>0.3</v>
      </c>
      <c r="K190" s="13"/>
    </row>
    <row r="191">
      <c r="A191" s="13"/>
      <c r="B191" s="15"/>
      <c r="C191" s="15"/>
      <c r="D191" s="15"/>
      <c r="E191" s="15"/>
      <c r="F191" s="15"/>
      <c r="G191" s="15"/>
      <c r="H191" s="38" t="s">
        <v>58</v>
      </c>
      <c r="I191" s="39">
        <f>3.56/4</f>
        <v>0.89</v>
      </c>
      <c r="J191" s="40">
        <v>0.4</v>
      </c>
      <c r="K191" s="13"/>
    </row>
    <row r="192">
      <c r="A192" s="13"/>
      <c r="B192" s="42" t="s">
        <v>59</v>
      </c>
      <c r="C192" s="43">
        <f>(F192*G192)+(F194*G194)</f>
        <v>0.9</v>
      </c>
      <c r="D192" s="43">
        <v>0.1</v>
      </c>
      <c r="E192" s="42" t="s">
        <v>60</v>
      </c>
      <c r="F192" s="43">
        <f>(J192*I192)+(I193*J193)</f>
        <v>0.8333333333</v>
      </c>
      <c r="G192" s="43">
        <v>0.6</v>
      </c>
      <c r="H192" s="44" t="s">
        <v>61</v>
      </c>
      <c r="I192" s="45">
        <v>1.0</v>
      </c>
      <c r="J192" s="46">
        <v>0.5</v>
      </c>
      <c r="K192" s="13"/>
    </row>
    <row r="193">
      <c r="A193" s="13"/>
      <c r="B193" s="13"/>
      <c r="C193" s="13"/>
      <c r="D193" s="13"/>
      <c r="E193" s="15"/>
      <c r="F193" s="15"/>
      <c r="G193" s="15"/>
      <c r="H193" s="44" t="s">
        <v>62</v>
      </c>
      <c r="I193" s="51">
        <f>2/3</f>
        <v>0.6666666667</v>
      </c>
      <c r="J193" s="46">
        <v>0.5</v>
      </c>
      <c r="K193" s="13"/>
    </row>
    <row r="194">
      <c r="A194" s="13"/>
      <c r="B194" s="13"/>
      <c r="C194" s="13"/>
      <c r="D194" s="13"/>
      <c r="E194" s="42" t="s">
        <v>63</v>
      </c>
      <c r="F194" s="43">
        <f>(J194*I194)+(I195*J195)</f>
        <v>1</v>
      </c>
      <c r="G194" s="43">
        <v>0.4</v>
      </c>
      <c r="H194" s="44" t="s">
        <v>64</v>
      </c>
      <c r="I194" s="45">
        <v>1.0</v>
      </c>
      <c r="J194" s="47">
        <v>0.6</v>
      </c>
      <c r="K194" s="13"/>
    </row>
    <row r="195">
      <c r="A195" s="15"/>
      <c r="B195" s="15"/>
      <c r="C195" s="15"/>
      <c r="D195" s="15"/>
      <c r="E195" s="15"/>
      <c r="F195" s="15"/>
      <c r="G195" s="15"/>
      <c r="H195" s="44" t="s">
        <v>65</v>
      </c>
      <c r="I195" s="45">
        <f>100/100</f>
        <v>1</v>
      </c>
      <c r="J195" s="47">
        <v>0.4</v>
      </c>
      <c r="K195" s="15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</row>
    <row r="19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</row>
    <row r="198">
      <c r="A198" s="49" t="s">
        <v>73</v>
      </c>
      <c r="B198" s="6" t="s">
        <v>12</v>
      </c>
      <c r="C198" s="7">
        <f>(G198*F198)+(G202*F202)+(G204*F204)+(G207*F207)</f>
        <v>0.515305</v>
      </c>
      <c r="D198" s="7">
        <v>0.3</v>
      </c>
      <c r="E198" s="6" t="s">
        <v>13</v>
      </c>
      <c r="F198" s="7">
        <f>(J198*I198)+(J199*I199)+(J200*I200)+(J201*I201)</f>
        <v>0.4122</v>
      </c>
      <c r="G198" s="7">
        <v>0.3</v>
      </c>
      <c r="H198" s="8" t="s">
        <v>14</v>
      </c>
      <c r="I198" s="9">
        <v>0.22</v>
      </c>
      <c r="J198" s="10">
        <v>0.15</v>
      </c>
      <c r="K198" s="11">
        <f>(C198*D198)+(C209*D209)+(C220*D220)+(C224*D224)+(C231*D231)</f>
        <v>0.59262025</v>
      </c>
    </row>
    <row r="199">
      <c r="A199" s="13"/>
      <c r="B199" s="13"/>
      <c r="C199" s="13"/>
      <c r="D199" s="13"/>
      <c r="E199" s="13"/>
      <c r="F199" s="13"/>
      <c r="G199" s="13"/>
      <c r="H199" s="8" t="s">
        <v>15</v>
      </c>
      <c r="I199" s="9">
        <v>0.37</v>
      </c>
      <c r="J199" s="10">
        <v>0.5</v>
      </c>
      <c r="K199" s="13"/>
    </row>
    <row r="200">
      <c r="A200" s="13"/>
      <c r="B200" s="13"/>
      <c r="C200" s="13"/>
      <c r="D200" s="13"/>
      <c r="E200" s="13"/>
      <c r="F200" s="13"/>
      <c r="G200" s="13"/>
      <c r="H200" s="8" t="s">
        <v>16</v>
      </c>
      <c r="I200" s="14">
        <f>5.88/10</f>
        <v>0.588</v>
      </c>
      <c r="J200" s="10">
        <v>0.15</v>
      </c>
      <c r="K200" s="13"/>
    </row>
    <row r="201">
      <c r="A201" s="13"/>
      <c r="B201" s="13"/>
      <c r="C201" s="13"/>
      <c r="D201" s="13"/>
      <c r="E201" s="15"/>
      <c r="F201" s="15"/>
      <c r="G201" s="15"/>
      <c r="H201" s="8" t="s">
        <v>17</v>
      </c>
      <c r="I201" s="9">
        <v>0.53</v>
      </c>
      <c r="J201" s="10">
        <v>0.2</v>
      </c>
      <c r="K201" s="13"/>
    </row>
    <row r="202">
      <c r="A202" s="13"/>
      <c r="B202" s="13"/>
      <c r="C202" s="13"/>
      <c r="D202" s="13"/>
      <c r="E202" s="6" t="s">
        <v>18</v>
      </c>
      <c r="F202" s="7">
        <f>(J202*I202)+(I203*J203)</f>
        <v>0.68575</v>
      </c>
      <c r="G202" s="7">
        <v>0.25</v>
      </c>
      <c r="H202" s="8" t="s">
        <v>19</v>
      </c>
      <c r="I202" s="9">
        <v>0.7</v>
      </c>
      <c r="J202" s="10">
        <v>0.7</v>
      </c>
      <c r="K202" s="13"/>
    </row>
    <row r="203">
      <c r="A203" s="13"/>
      <c r="B203" s="13"/>
      <c r="C203" s="13"/>
      <c r="D203" s="13"/>
      <c r="E203" s="15"/>
      <c r="F203" s="15"/>
      <c r="G203" s="15"/>
      <c r="H203" s="8" t="s">
        <v>20</v>
      </c>
      <c r="I203" s="14">
        <f>2.61/4</f>
        <v>0.6525</v>
      </c>
      <c r="J203" s="10">
        <v>0.3</v>
      </c>
      <c r="K203" s="13"/>
    </row>
    <row r="204">
      <c r="A204" s="13"/>
      <c r="B204" s="13"/>
      <c r="C204" s="13"/>
      <c r="D204" s="13"/>
      <c r="E204" s="6" t="s">
        <v>21</v>
      </c>
      <c r="F204" s="7">
        <f>(J204*I204)+(I205*J205)+(I206*J206)</f>
        <v>0.453025</v>
      </c>
      <c r="G204" s="7">
        <v>0.3</v>
      </c>
      <c r="H204" s="8" t="s">
        <v>22</v>
      </c>
      <c r="I204" s="14">
        <f>32.15/100</f>
        <v>0.3215</v>
      </c>
      <c r="J204" s="10">
        <v>0.35</v>
      </c>
      <c r="K204" s="13"/>
    </row>
    <row r="205">
      <c r="A205" s="13"/>
      <c r="B205" s="13"/>
      <c r="C205" s="13"/>
      <c r="D205" s="13"/>
      <c r="E205" s="13"/>
      <c r="F205" s="13"/>
      <c r="G205" s="13"/>
      <c r="H205" s="8" t="s">
        <v>23</v>
      </c>
      <c r="I205" s="9">
        <f>33/100</f>
        <v>0.33</v>
      </c>
      <c r="J205" s="10">
        <v>0.3</v>
      </c>
      <c r="K205" s="13"/>
    </row>
    <row r="206">
      <c r="A206" s="13"/>
      <c r="B206" s="13"/>
      <c r="C206" s="13"/>
      <c r="D206" s="13"/>
      <c r="E206" s="15"/>
      <c r="F206" s="15"/>
      <c r="G206" s="15"/>
      <c r="H206" s="8" t="s">
        <v>24</v>
      </c>
      <c r="I206" s="9">
        <v>0.69</v>
      </c>
      <c r="J206" s="10">
        <v>0.35</v>
      </c>
      <c r="K206" s="13"/>
    </row>
    <row r="207">
      <c r="A207" s="13"/>
      <c r="B207" s="13"/>
      <c r="C207" s="13"/>
      <c r="D207" s="13"/>
      <c r="E207" s="6" t="s">
        <v>25</v>
      </c>
      <c r="F207" s="7">
        <f>(J207*I207)+(I208*J208)</f>
        <v>0.562</v>
      </c>
      <c r="G207" s="7">
        <v>0.15</v>
      </c>
      <c r="H207" s="8" t="s">
        <v>26</v>
      </c>
      <c r="I207" s="9">
        <v>0.52</v>
      </c>
      <c r="J207" s="10">
        <v>0.6</v>
      </c>
      <c r="K207" s="13"/>
    </row>
    <row r="208">
      <c r="A208" s="13"/>
      <c r="B208" s="15"/>
      <c r="C208" s="15"/>
      <c r="D208" s="15"/>
      <c r="E208" s="15"/>
      <c r="F208" s="15"/>
      <c r="G208" s="15"/>
      <c r="H208" s="16" t="s">
        <v>27</v>
      </c>
      <c r="I208" s="14">
        <f>2.5/4</f>
        <v>0.625</v>
      </c>
      <c r="J208" s="17">
        <v>0.4</v>
      </c>
      <c r="K208" s="13"/>
    </row>
    <row r="209">
      <c r="A209" s="13"/>
      <c r="B209" s="18" t="s">
        <v>28</v>
      </c>
      <c r="C209" s="19">
        <f>(G209*F209)+(F213*G213)+(F217*G217)</f>
        <v>0.5673125</v>
      </c>
      <c r="D209" s="19">
        <v>0.2</v>
      </c>
      <c r="E209" s="20" t="s">
        <v>29</v>
      </c>
      <c r="F209" s="19">
        <f>(J209*I209)+(J210*I210)+(J211*I211)+(J212*I212)</f>
        <v>0.37675</v>
      </c>
      <c r="G209" s="19">
        <v>0.35</v>
      </c>
      <c r="H209" s="21" t="s">
        <v>30</v>
      </c>
      <c r="I209" s="22">
        <f>5/10</f>
        <v>0.5</v>
      </c>
      <c r="J209" s="23">
        <v>0.3</v>
      </c>
      <c r="K209" s="13"/>
    </row>
    <row r="210">
      <c r="A210" s="13"/>
      <c r="B210" s="13"/>
      <c r="C210" s="13"/>
      <c r="D210" s="13"/>
      <c r="E210" s="13"/>
      <c r="F210" s="13"/>
      <c r="G210" s="13"/>
      <c r="H210" s="21" t="s">
        <v>31</v>
      </c>
      <c r="I210" s="24">
        <f>1.13/4</f>
        <v>0.2825</v>
      </c>
      <c r="J210" s="23">
        <v>0.2</v>
      </c>
      <c r="K210" s="13"/>
    </row>
    <row r="211">
      <c r="A211" s="13"/>
      <c r="B211" s="13"/>
      <c r="C211" s="13"/>
      <c r="D211" s="13"/>
      <c r="E211" s="13"/>
      <c r="F211" s="13"/>
      <c r="G211" s="13"/>
      <c r="H211" s="21" t="s">
        <v>32</v>
      </c>
      <c r="I211" s="22">
        <f>1.26/4</f>
        <v>0.315</v>
      </c>
      <c r="J211" s="23">
        <v>0.2</v>
      </c>
      <c r="K211" s="13"/>
    </row>
    <row r="212">
      <c r="A212" s="13"/>
      <c r="B212" s="13"/>
      <c r="C212" s="13"/>
      <c r="D212" s="13"/>
      <c r="E212" s="15"/>
      <c r="F212" s="15"/>
      <c r="G212" s="15"/>
      <c r="H212" s="21" t="s">
        <v>33</v>
      </c>
      <c r="I212" s="22">
        <f>1.43/4</f>
        <v>0.3575</v>
      </c>
      <c r="J212" s="23">
        <v>0.3</v>
      </c>
      <c r="K212" s="13"/>
    </row>
    <row r="213">
      <c r="A213" s="13"/>
      <c r="B213" s="13"/>
      <c r="C213" s="13"/>
      <c r="D213" s="13"/>
      <c r="E213" s="25" t="s">
        <v>34</v>
      </c>
      <c r="F213" s="19">
        <f>(J213*I213)+(J214*I214)+(J215*I215)</f>
        <v>0.793</v>
      </c>
      <c r="G213" s="19">
        <v>0.4</v>
      </c>
      <c r="H213" s="21" t="s">
        <v>35</v>
      </c>
      <c r="I213" s="22">
        <v>0.777</v>
      </c>
      <c r="J213" s="23">
        <v>0.5</v>
      </c>
      <c r="K213" s="13"/>
    </row>
    <row r="214">
      <c r="A214" s="13"/>
      <c r="B214" s="13"/>
      <c r="C214" s="13"/>
      <c r="D214" s="13"/>
      <c r="E214" s="13"/>
      <c r="F214" s="13"/>
      <c r="G214" s="13"/>
      <c r="H214" s="21" t="s">
        <v>36</v>
      </c>
      <c r="I214" s="22">
        <f>(100-11)/100</f>
        <v>0.89</v>
      </c>
      <c r="J214" s="23">
        <v>0.3</v>
      </c>
      <c r="K214" s="13"/>
    </row>
    <row r="215">
      <c r="A215" s="13"/>
      <c r="B215" s="13"/>
      <c r="C215" s="13"/>
      <c r="D215" s="13"/>
      <c r="E215" s="13"/>
      <c r="F215" s="13"/>
      <c r="G215" s="13"/>
      <c r="H215" s="26" t="s">
        <v>37</v>
      </c>
      <c r="I215" s="27">
        <f>2.75/4</f>
        <v>0.6875</v>
      </c>
      <c r="J215" s="19">
        <v>0.2</v>
      </c>
      <c r="K215" s="13"/>
    </row>
    <row r="216">
      <c r="A216" s="13"/>
      <c r="B216" s="13"/>
      <c r="C216" s="13"/>
      <c r="D216" s="13"/>
      <c r="E216" s="15"/>
      <c r="F216" s="15"/>
      <c r="G216" s="15"/>
      <c r="H216" s="15"/>
      <c r="I216" s="15"/>
      <c r="J216" s="15"/>
      <c r="K216" s="13"/>
    </row>
    <row r="217">
      <c r="A217" s="13"/>
      <c r="B217" s="13"/>
      <c r="C217" s="13"/>
      <c r="D217" s="13"/>
      <c r="E217" s="25" t="s">
        <v>38</v>
      </c>
      <c r="F217" s="19">
        <f>(J217*I217)+(I218*J218)+(I219*J219)</f>
        <v>0.473</v>
      </c>
      <c r="G217" s="19">
        <v>0.25</v>
      </c>
      <c r="H217" s="21" t="s">
        <v>39</v>
      </c>
      <c r="I217" s="24">
        <f>(100-45.9)/100</f>
        <v>0.541</v>
      </c>
      <c r="J217" s="23">
        <v>0.25</v>
      </c>
      <c r="K217" s="13"/>
    </row>
    <row r="218">
      <c r="A218" s="13"/>
      <c r="B218" s="13"/>
      <c r="C218" s="13"/>
      <c r="D218" s="13"/>
      <c r="E218" s="13"/>
      <c r="F218" s="13"/>
      <c r="G218" s="13"/>
      <c r="H218" s="21" t="s">
        <v>40</v>
      </c>
      <c r="I218" s="24">
        <f>1.13/4</f>
        <v>0.2825</v>
      </c>
      <c r="J218" s="23">
        <v>0.5</v>
      </c>
      <c r="K218" s="13"/>
    </row>
    <row r="219">
      <c r="A219" s="13"/>
      <c r="B219" s="15"/>
      <c r="C219" s="15"/>
      <c r="D219" s="15"/>
      <c r="E219" s="15"/>
      <c r="F219" s="15"/>
      <c r="G219" s="15"/>
      <c r="H219" s="21" t="s">
        <v>69</v>
      </c>
      <c r="I219" s="24">
        <f>(100-21.4)/100</f>
        <v>0.786</v>
      </c>
      <c r="J219" s="23">
        <v>0.25</v>
      </c>
      <c r="K219" s="13"/>
    </row>
    <row r="220">
      <c r="A220" s="13"/>
      <c r="B220" s="28" t="s">
        <v>42</v>
      </c>
      <c r="C220" s="29">
        <f>(G220*F220)+(F222*G222)</f>
        <v>0.4465</v>
      </c>
      <c r="D220" s="29">
        <v>0.2</v>
      </c>
      <c r="E220" s="30" t="s">
        <v>43</v>
      </c>
      <c r="F220" s="29">
        <f>(J220*I220)+(I221*J221)</f>
        <v>0.5033333333</v>
      </c>
      <c r="G220" s="29">
        <v>0.45</v>
      </c>
      <c r="H220" s="31" t="s">
        <v>44</v>
      </c>
      <c r="I220" s="32">
        <v>0.53</v>
      </c>
      <c r="J220" s="33">
        <v>0.6</v>
      </c>
      <c r="K220" s="13"/>
    </row>
    <row r="221">
      <c r="A221" s="13"/>
      <c r="B221" s="13"/>
      <c r="C221" s="13"/>
      <c r="D221" s="13"/>
      <c r="E221" s="15"/>
      <c r="F221" s="15"/>
      <c r="G221" s="15"/>
      <c r="H221" s="31" t="s">
        <v>45</v>
      </c>
      <c r="I221" s="34">
        <f>1.39/3</f>
        <v>0.4633333333</v>
      </c>
      <c r="J221" s="33">
        <v>0.4</v>
      </c>
      <c r="K221" s="13"/>
    </row>
    <row r="222">
      <c r="A222" s="13"/>
      <c r="B222" s="13"/>
      <c r="C222" s="13"/>
      <c r="D222" s="13"/>
      <c r="E222" s="30" t="s">
        <v>46</v>
      </c>
      <c r="F222" s="29">
        <f>(J222*I222)+(I223*J223)</f>
        <v>0.4</v>
      </c>
      <c r="G222" s="29">
        <v>0.55</v>
      </c>
      <c r="H222" s="31" t="s">
        <v>47</v>
      </c>
      <c r="I222" s="34">
        <f>((3+3+4)/3)/10</f>
        <v>0.3333333333</v>
      </c>
      <c r="J222" s="33">
        <v>0.6</v>
      </c>
      <c r="K222" s="13"/>
    </row>
    <row r="223">
      <c r="A223" s="13"/>
      <c r="B223" s="15"/>
      <c r="C223" s="15"/>
      <c r="D223" s="15"/>
      <c r="E223" s="15"/>
      <c r="F223" s="15"/>
      <c r="G223" s="15"/>
      <c r="H223" s="31" t="s">
        <v>48</v>
      </c>
      <c r="I223" s="32">
        <v>0.5</v>
      </c>
      <c r="J223" s="33">
        <v>0.4</v>
      </c>
      <c r="K223" s="13"/>
    </row>
    <row r="224">
      <c r="A224" s="13"/>
      <c r="B224" s="35" t="s">
        <v>49</v>
      </c>
      <c r="C224" s="36">
        <f>(F224*G224)+(F228*G228)</f>
        <v>0.87633125</v>
      </c>
      <c r="D224" s="36">
        <v>0.2</v>
      </c>
      <c r="E224" s="37" t="s">
        <v>50</v>
      </c>
      <c r="F224" s="36">
        <f>(J224*I224)+(J225*I225)+(J226*I226)+(J227*I227)</f>
        <v>0.866375</v>
      </c>
      <c r="G224" s="36">
        <v>0.55</v>
      </c>
      <c r="H224" s="38" t="s">
        <v>51</v>
      </c>
      <c r="I224" s="39">
        <v>0.83</v>
      </c>
      <c r="J224" s="40">
        <v>0.35</v>
      </c>
      <c r="K224" s="13"/>
    </row>
    <row r="225">
      <c r="A225" s="13"/>
      <c r="B225" s="13"/>
      <c r="C225" s="13"/>
      <c r="D225" s="13"/>
      <c r="E225" s="13"/>
      <c r="F225" s="13"/>
      <c r="G225" s="13"/>
      <c r="H225" s="38" t="s">
        <v>52</v>
      </c>
      <c r="I225" s="41">
        <f>3.35/4</f>
        <v>0.8375</v>
      </c>
      <c r="J225" s="40">
        <v>0.35</v>
      </c>
      <c r="K225" s="13"/>
    </row>
    <row r="226">
      <c r="A226" s="13"/>
      <c r="B226" s="13"/>
      <c r="C226" s="13"/>
      <c r="D226" s="13"/>
      <c r="E226" s="13"/>
      <c r="F226" s="13"/>
      <c r="G226" s="13"/>
      <c r="H226" s="38" t="s">
        <v>53</v>
      </c>
      <c r="I226" s="41">
        <f>3.54/4</f>
        <v>0.885</v>
      </c>
      <c r="J226" s="40">
        <v>0.15</v>
      </c>
      <c r="K226" s="13"/>
    </row>
    <row r="227">
      <c r="A227" s="13"/>
      <c r="B227" s="13"/>
      <c r="C227" s="13"/>
      <c r="D227" s="13"/>
      <c r="E227" s="15"/>
      <c r="F227" s="15"/>
      <c r="G227" s="15"/>
      <c r="H227" s="38" t="s">
        <v>54</v>
      </c>
      <c r="I227" s="39">
        <v>1.0</v>
      </c>
      <c r="J227" s="40">
        <v>0.15</v>
      </c>
      <c r="K227" s="13"/>
    </row>
    <row r="228">
      <c r="A228" s="13"/>
      <c r="B228" s="13"/>
      <c r="C228" s="13"/>
      <c r="D228" s="13"/>
      <c r="E228" s="35" t="s">
        <v>55</v>
      </c>
      <c r="F228" s="36">
        <f>(J228*I228)+(I229*J229)+(I230*J230)</f>
        <v>0.8885</v>
      </c>
      <c r="G228" s="36">
        <v>0.45</v>
      </c>
      <c r="H228" s="38" t="s">
        <v>56</v>
      </c>
      <c r="I228" s="39">
        <f>2.84/4</f>
        <v>0.71</v>
      </c>
      <c r="J228" s="40">
        <v>0.3</v>
      </c>
      <c r="K228" s="13"/>
    </row>
    <row r="229">
      <c r="A229" s="13"/>
      <c r="B229" s="13"/>
      <c r="C229" s="13"/>
      <c r="D229" s="13"/>
      <c r="E229" s="13"/>
      <c r="F229" s="13"/>
      <c r="G229" s="13"/>
      <c r="H229" s="38" t="s">
        <v>57</v>
      </c>
      <c r="I229" s="41">
        <f>3.94/4</f>
        <v>0.985</v>
      </c>
      <c r="J229" s="40">
        <v>0.3</v>
      </c>
      <c r="K229" s="13"/>
    </row>
    <row r="230">
      <c r="A230" s="13"/>
      <c r="B230" s="15"/>
      <c r="C230" s="15"/>
      <c r="D230" s="15"/>
      <c r="E230" s="15"/>
      <c r="F230" s="15"/>
      <c r="G230" s="15"/>
      <c r="H230" s="38" t="s">
        <v>58</v>
      </c>
      <c r="I230" s="39">
        <f>3.8/4</f>
        <v>0.95</v>
      </c>
      <c r="J230" s="40">
        <v>0.4</v>
      </c>
      <c r="K230" s="13"/>
    </row>
    <row r="231">
      <c r="A231" s="13"/>
      <c r="B231" s="42" t="s">
        <v>59</v>
      </c>
      <c r="C231" s="43">
        <f>(F231*G231)+(F233*G233)</f>
        <v>0.6</v>
      </c>
      <c r="D231" s="43">
        <v>0.1</v>
      </c>
      <c r="E231" s="42" t="s">
        <v>60</v>
      </c>
      <c r="F231" s="43">
        <f>(J231*I231)+(I232*J232)</f>
        <v>0.6666666667</v>
      </c>
      <c r="G231" s="43">
        <v>0.6</v>
      </c>
      <c r="H231" s="44" t="s">
        <v>61</v>
      </c>
      <c r="I231" s="45">
        <v>1.0</v>
      </c>
      <c r="J231" s="46">
        <v>0.5</v>
      </c>
      <c r="K231" s="13"/>
    </row>
    <row r="232">
      <c r="A232" s="13"/>
      <c r="B232" s="13"/>
      <c r="C232" s="13"/>
      <c r="D232" s="13"/>
      <c r="E232" s="15"/>
      <c r="F232" s="15"/>
      <c r="G232" s="15"/>
      <c r="H232" s="44" t="s">
        <v>62</v>
      </c>
      <c r="I232" s="51">
        <f>1/3</f>
        <v>0.3333333333</v>
      </c>
      <c r="J232" s="46">
        <v>0.5</v>
      </c>
      <c r="K232" s="13"/>
    </row>
    <row r="233">
      <c r="A233" s="13"/>
      <c r="B233" s="13"/>
      <c r="C233" s="13"/>
      <c r="D233" s="13"/>
      <c r="E233" s="42" t="s">
        <v>63</v>
      </c>
      <c r="F233" s="43">
        <f>(J233*I233)+(I234*J234)</f>
        <v>0.5</v>
      </c>
      <c r="G233" s="43">
        <v>0.4</v>
      </c>
      <c r="H233" s="44" t="s">
        <v>64</v>
      </c>
      <c r="I233" s="45">
        <v>0.5</v>
      </c>
      <c r="J233" s="47">
        <v>0.6</v>
      </c>
      <c r="K233" s="13"/>
    </row>
    <row r="234">
      <c r="A234" s="15"/>
      <c r="B234" s="15"/>
      <c r="C234" s="15"/>
      <c r="D234" s="15"/>
      <c r="E234" s="15"/>
      <c r="F234" s="15"/>
      <c r="G234" s="15"/>
      <c r="H234" s="44" t="s">
        <v>65</v>
      </c>
      <c r="I234" s="45">
        <f>50/100</f>
        <v>0.5</v>
      </c>
      <c r="J234" s="47">
        <v>0.4</v>
      </c>
      <c r="K234" s="15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</row>
    <row r="237">
      <c r="A237" s="49" t="s">
        <v>74</v>
      </c>
      <c r="B237" s="6" t="s">
        <v>12</v>
      </c>
      <c r="C237" s="7">
        <f>(G237*F237)+(G241*F241)+(G243*F243)+(G246*F246)</f>
        <v>0.5959165</v>
      </c>
      <c r="D237" s="7">
        <v>0.3</v>
      </c>
      <c r="E237" s="6" t="s">
        <v>13</v>
      </c>
      <c r="F237" s="7">
        <f>(J237*I237)+(J238*I238)+(J239*I239)+(J240*I240)</f>
        <v>0.5964</v>
      </c>
      <c r="G237" s="7">
        <v>0.3</v>
      </c>
      <c r="H237" s="8" t="s">
        <v>14</v>
      </c>
      <c r="I237" s="9">
        <v>0.66</v>
      </c>
      <c r="J237" s="10">
        <v>0.15</v>
      </c>
      <c r="K237" s="11">
        <f>(C237*D237)+(C248*D248)+(C259*D259)+(C263*D263)+(C270*D270)</f>
        <v>0.4913162</v>
      </c>
    </row>
    <row r="238">
      <c r="A238" s="13"/>
      <c r="B238" s="13"/>
      <c r="C238" s="13"/>
      <c r="D238" s="13"/>
      <c r="E238" s="13"/>
      <c r="F238" s="13"/>
      <c r="G238" s="13"/>
      <c r="H238" s="8" t="s">
        <v>15</v>
      </c>
      <c r="I238" s="9">
        <v>0.52</v>
      </c>
      <c r="J238" s="10">
        <v>0.5</v>
      </c>
      <c r="K238" s="13"/>
    </row>
    <row r="239">
      <c r="A239" s="13"/>
      <c r="B239" s="13"/>
      <c r="C239" s="13"/>
      <c r="D239" s="13"/>
      <c r="E239" s="13"/>
      <c r="F239" s="13"/>
      <c r="G239" s="13"/>
      <c r="H239" s="8" t="s">
        <v>16</v>
      </c>
      <c r="I239" s="9">
        <f>6.76/10</f>
        <v>0.676</v>
      </c>
      <c r="J239" s="10">
        <v>0.15</v>
      </c>
      <c r="K239" s="13"/>
    </row>
    <row r="240">
      <c r="A240" s="13"/>
      <c r="B240" s="13"/>
      <c r="C240" s="13"/>
      <c r="D240" s="13"/>
      <c r="E240" s="15"/>
      <c r="F240" s="15"/>
      <c r="G240" s="15"/>
      <c r="H240" s="8" t="s">
        <v>17</v>
      </c>
      <c r="I240" s="9">
        <v>0.68</v>
      </c>
      <c r="J240" s="10">
        <v>0.2</v>
      </c>
      <c r="K240" s="13"/>
    </row>
    <row r="241">
      <c r="A241" s="13"/>
      <c r="B241" s="13"/>
      <c r="C241" s="13"/>
      <c r="D241" s="13"/>
      <c r="E241" s="6" t="s">
        <v>18</v>
      </c>
      <c r="F241" s="7">
        <f>(J241*I241)+(I242*J242)</f>
        <v>0.6925</v>
      </c>
      <c r="G241" s="7">
        <v>0.25</v>
      </c>
      <c r="H241" s="55" t="s">
        <v>20</v>
      </c>
      <c r="I241" s="56">
        <f>2.77/4</f>
        <v>0.6925</v>
      </c>
      <c r="J241" s="7">
        <v>1.0</v>
      </c>
      <c r="K241" s="13"/>
    </row>
    <row r="242">
      <c r="A242" s="13"/>
      <c r="B242" s="13"/>
      <c r="C242" s="13"/>
      <c r="D242" s="13"/>
      <c r="E242" s="15"/>
      <c r="F242" s="15"/>
      <c r="G242" s="15"/>
      <c r="H242" s="15"/>
      <c r="I242" s="15"/>
      <c r="J242" s="15"/>
      <c r="K242" s="13"/>
    </row>
    <row r="243">
      <c r="A243" s="13"/>
      <c r="B243" s="13"/>
      <c r="C243" s="13"/>
      <c r="D243" s="13"/>
      <c r="E243" s="6" t="s">
        <v>21</v>
      </c>
      <c r="F243" s="7">
        <f>(J243*I243)+(I244*J244)+(I245*J245)</f>
        <v>0.549905</v>
      </c>
      <c r="G243" s="7">
        <v>0.3</v>
      </c>
      <c r="H243" s="8" t="s">
        <v>22</v>
      </c>
      <c r="I243" s="14">
        <f>40.83/100</f>
        <v>0.4083</v>
      </c>
      <c r="J243" s="10">
        <v>0.35</v>
      </c>
      <c r="K243" s="13"/>
    </row>
    <row r="244">
      <c r="A244" s="13"/>
      <c r="B244" s="13"/>
      <c r="C244" s="13"/>
      <c r="D244" s="13"/>
      <c r="E244" s="13"/>
      <c r="F244" s="13"/>
      <c r="G244" s="13"/>
      <c r="H244" s="8" t="s">
        <v>23</v>
      </c>
      <c r="I244" s="9">
        <f>40/100</f>
        <v>0.4</v>
      </c>
      <c r="J244" s="10">
        <v>0.3</v>
      </c>
      <c r="K244" s="13"/>
    </row>
    <row r="245">
      <c r="A245" s="13"/>
      <c r="B245" s="13"/>
      <c r="C245" s="13"/>
      <c r="D245" s="13"/>
      <c r="E245" s="15"/>
      <c r="F245" s="15"/>
      <c r="G245" s="15"/>
      <c r="H245" s="8" t="s">
        <v>24</v>
      </c>
      <c r="I245" s="9">
        <v>0.82</v>
      </c>
      <c r="J245" s="10">
        <v>0.35</v>
      </c>
      <c r="K245" s="13"/>
    </row>
    <row r="246">
      <c r="A246" s="13"/>
      <c r="B246" s="13"/>
      <c r="C246" s="13"/>
      <c r="D246" s="13"/>
      <c r="E246" s="6" t="s">
        <v>25</v>
      </c>
      <c r="F246" s="7">
        <f>(J246*I246)+(I247*J247)</f>
        <v>0.526</v>
      </c>
      <c r="G246" s="7">
        <v>0.15</v>
      </c>
      <c r="H246" s="8" t="s">
        <v>26</v>
      </c>
      <c r="I246" s="9">
        <v>0.44</v>
      </c>
      <c r="J246" s="10">
        <v>0.6</v>
      </c>
      <c r="K246" s="13"/>
    </row>
    <row r="247">
      <c r="A247" s="13"/>
      <c r="B247" s="15"/>
      <c r="C247" s="15"/>
      <c r="D247" s="15"/>
      <c r="E247" s="15"/>
      <c r="F247" s="15"/>
      <c r="G247" s="15"/>
      <c r="H247" s="16" t="s">
        <v>27</v>
      </c>
      <c r="I247" s="14">
        <f>2.62/4</f>
        <v>0.655</v>
      </c>
      <c r="J247" s="17">
        <v>0.4</v>
      </c>
      <c r="K247" s="13"/>
    </row>
    <row r="248">
      <c r="A248" s="13"/>
      <c r="B248" s="18" t="s">
        <v>28</v>
      </c>
      <c r="C248" s="19">
        <f>(G248*F248)+(F252*G252)+(F256*G256)</f>
        <v>0.5718125</v>
      </c>
      <c r="D248" s="19">
        <v>0.2</v>
      </c>
      <c r="E248" s="20" t="s">
        <v>29</v>
      </c>
      <c r="F248" s="19">
        <f>(J248*I248)+(J249*I249)+(J250*I250)+(J251*I251)</f>
        <v>0.394</v>
      </c>
      <c r="G248" s="19">
        <v>0.35</v>
      </c>
      <c r="H248" s="21" t="s">
        <v>30</v>
      </c>
      <c r="I248" s="22"/>
      <c r="J248" s="23">
        <v>0.3</v>
      </c>
      <c r="K248" s="13"/>
    </row>
    <row r="249">
      <c r="A249" s="13"/>
      <c r="B249" s="13"/>
      <c r="C249" s="13"/>
      <c r="D249" s="13"/>
      <c r="E249" s="13"/>
      <c r="F249" s="13"/>
      <c r="G249" s="13"/>
      <c r="H249" s="21" t="s">
        <v>31</v>
      </c>
      <c r="I249" s="24">
        <f>2.38/4</f>
        <v>0.595</v>
      </c>
      <c r="J249" s="23">
        <v>0.2</v>
      </c>
      <c r="K249" s="13"/>
    </row>
    <row r="250">
      <c r="A250" s="13"/>
      <c r="B250" s="13"/>
      <c r="C250" s="13"/>
      <c r="D250" s="13"/>
      <c r="E250" s="13"/>
      <c r="F250" s="13"/>
      <c r="G250" s="13"/>
      <c r="H250" s="21" t="s">
        <v>32</v>
      </c>
      <c r="I250" s="24">
        <f>2.59/4</f>
        <v>0.6475</v>
      </c>
      <c r="J250" s="23">
        <v>0.2</v>
      </c>
      <c r="K250" s="13"/>
    </row>
    <row r="251">
      <c r="A251" s="13"/>
      <c r="B251" s="13"/>
      <c r="C251" s="13"/>
      <c r="D251" s="13"/>
      <c r="E251" s="15"/>
      <c r="F251" s="15"/>
      <c r="G251" s="15"/>
      <c r="H251" s="21" t="s">
        <v>33</v>
      </c>
      <c r="I251" s="22">
        <f>1.94/4</f>
        <v>0.485</v>
      </c>
      <c r="J251" s="23">
        <v>0.3</v>
      </c>
      <c r="K251" s="13"/>
    </row>
    <row r="252">
      <c r="A252" s="13"/>
      <c r="B252" s="13"/>
      <c r="C252" s="13"/>
      <c r="D252" s="13"/>
      <c r="E252" s="25" t="s">
        <v>34</v>
      </c>
      <c r="F252" s="19">
        <f>(J252*I252)+(J253*I253)+(J254*I254)</f>
        <v>0.799</v>
      </c>
      <c r="G252" s="19">
        <v>0.4</v>
      </c>
      <c r="H252" s="21" t="s">
        <v>35</v>
      </c>
      <c r="I252" s="22">
        <v>0.776</v>
      </c>
      <c r="J252" s="23">
        <v>0.5</v>
      </c>
      <c r="K252" s="13"/>
    </row>
    <row r="253">
      <c r="A253" s="13"/>
      <c r="B253" s="13"/>
      <c r="C253" s="13"/>
      <c r="D253" s="13"/>
      <c r="E253" s="13"/>
      <c r="F253" s="13"/>
      <c r="G253" s="13"/>
      <c r="H253" s="21" t="s">
        <v>36</v>
      </c>
      <c r="I253" s="22">
        <f>(100-23)/100</f>
        <v>0.77</v>
      </c>
      <c r="J253" s="23">
        <v>0.3</v>
      </c>
      <c r="K253" s="13"/>
    </row>
    <row r="254">
      <c r="A254" s="13"/>
      <c r="B254" s="13"/>
      <c r="C254" s="13"/>
      <c r="D254" s="13"/>
      <c r="E254" s="13"/>
      <c r="F254" s="13"/>
      <c r="G254" s="13"/>
      <c r="H254" s="26" t="s">
        <v>37</v>
      </c>
      <c r="I254" s="27">
        <f>3.6/4</f>
        <v>0.9</v>
      </c>
      <c r="J254" s="19">
        <v>0.2</v>
      </c>
      <c r="K254" s="13"/>
    </row>
    <row r="255">
      <c r="A255" s="13"/>
      <c r="B255" s="13"/>
      <c r="C255" s="13"/>
      <c r="D255" s="13"/>
      <c r="E255" s="15"/>
      <c r="F255" s="15"/>
      <c r="G255" s="15"/>
      <c r="H255" s="15"/>
      <c r="I255" s="15"/>
      <c r="J255" s="15"/>
      <c r="K255" s="13"/>
    </row>
    <row r="256">
      <c r="A256" s="13"/>
      <c r="B256" s="13"/>
      <c r="C256" s="13"/>
      <c r="D256" s="13"/>
      <c r="E256" s="25" t="s">
        <v>38</v>
      </c>
      <c r="F256" s="19">
        <f>(J256*I256)+(I257*J257)+(I258*J258)</f>
        <v>0.45725</v>
      </c>
      <c r="G256" s="19">
        <v>0.25</v>
      </c>
      <c r="H256" s="21" t="s">
        <v>39</v>
      </c>
      <c r="I256" s="22">
        <f>(100-45.1)/100</f>
        <v>0.549</v>
      </c>
      <c r="J256" s="23">
        <v>0.25</v>
      </c>
      <c r="K256" s="13"/>
    </row>
    <row r="257">
      <c r="A257" s="13"/>
      <c r="B257" s="13"/>
      <c r="C257" s="13"/>
      <c r="D257" s="13"/>
      <c r="E257" s="13"/>
      <c r="F257" s="13"/>
      <c r="G257" s="13"/>
      <c r="H257" s="21" t="s">
        <v>40</v>
      </c>
      <c r="I257" s="22">
        <f>2.56/4</f>
        <v>0.64</v>
      </c>
      <c r="J257" s="23">
        <v>0.5</v>
      </c>
      <c r="K257" s="13"/>
    </row>
    <row r="258">
      <c r="A258" s="13"/>
      <c r="B258" s="15"/>
      <c r="C258" s="15"/>
      <c r="D258" s="15"/>
      <c r="E258" s="15"/>
      <c r="F258" s="15"/>
      <c r="G258" s="15"/>
      <c r="H258" s="21" t="s">
        <v>41</v>
      </c>
      <c r="I258" s="22"/>
      <c r="J258" s="23">
        <v>0.25</v>
      </c>
      <c r="K258" s="13"/>
    </row>
    <row r="259">
      <c r="A259" s="13"/>
      <c r="B259" s="28" t="s">
        <v>42</v>
      </c>
      <c r="C259" s="29">
        <f>(G259*F259)+(F261*G261)</f>
        <v>0.1935</v>
      </c>
      <c r="D259" s="29">
        <v>0.2</v>
      </c>
      <c r="E259" s="30" t="s">
        <v>43</v>
      </c>
      <c r="F259" s="29">
        <f>(J259*I259)+(I260*J260)</f>
        <v>0.43</v>
      </c>
      <c r="G259" s="29">
        <v>0.45</v>
      </c>
      <c r="H259" s="31" t="s">
        <v>44</v>
      </c>
      <c r="I259" s="32">
        <v>0.37</v>
      </c>
      <c r="J259" s="33">
        <v>0.6</v>
      </c>
      <c r="K259" s="13"/>
    </row>
    <row r="260">
      <c r="A260" s="13"/>
      <c r="B260" s="13"/>
      <c r="C260" s="13"/>
      <c r="D260" s="13"/>
      <c r="E260" s="15"/>
      <c r="F260" s="15"/>
      <c r="G260" s="15"/>
      <c r="H260" s="31" t="s">
        <v>45</v>
      </c>
      <c r="I260" s="32">
        <f>1.56/3</f>
        <v>0.52</v>
      </c>
      <c r="J260" s="33">
        <v>0.4</v>
      </c>
      <c r="K260" s="13"/>
    </row>
    <row r="261">
      <c r="A261" s="13"/>
      <c r="B261" s="13"/>
      <c r="C261" s="13"/>
      <c r="D261" s="13"/>
      <c r="E261" s="30" t="s">
        <v>46</v>
      </c>
      <c r="F261" s="29">
        <f>(J261*I261)+(I262*J262)</f>
        <v>0</v>
      </c>
      <c r="G261" s="29">
        <v>0.55</v>
      </c>
      <c r="H261" s="31" t="s">
        <v>47</v>
      </c>
      <c r="I261" s="32"/>
      <c r="J261" s="33">
        <v>0.6</v>
      </c>
      <c r="K261" s="13"/>
    </row>
    <row r="262">
      <c r="A262" s="13"/>
      <c r="B262" s="15"/>
      <c r="C262" s="15"/>
      <c r="D262" s="15"/>
      <c r="E262" s="15"/>
      <c r="F262" s="15"/>
      <c r="G262" s="15"/>
      <c r="H262" s="31" t="s">
        <v>48</v>
      </c>
      <c r="I262" s="32">
        <v>0.0</v>
      </c>
      <c r="J262" s="33">
        <v>0.4</v>
      </c>
      <c r="K262" s="13"/>
    </row>
    <row r="263">
      <c r="A263" s="13"/>
      <c r="B263" s="35" t="s">
        <v>49</v>
      </c>
      <c r="C263" s="36">
        <f>(F263*G263)+(F267*G267)</f>
        <v>0.74739375</v>
      </c>
      <c r="D263" s="36">
        <v>0.2</v>
      </c>
      <c r="E263" s="37" t="s">
        <v>50</v>
      </c>
      <c r="F263" s="36">
        <f>(J263*I263)+(J264*I264)+(J265*I265)+(J266*I266)</f>
        <v>0.687375</v>
      </c>
      <c r="G263" s="36">
        <v>0.55</v>
      </c>
      <c r="H263" s="38" t="s">
        <v>51</v>
      </c>
      <c r="I263" s="39">
        <v>0.49</v>
      </c>
      <c r="J263" s="40">
        <v>0.35</v>
      </c>
      <c r="K263" s="13"/>
    </row>
    <row r="264">
      <c r="A264" s="13"/>
      <c r="B264" s="13"/>
      <c r="C264" s="13"/>
      <c r="D264" s="13"/>
      <c r="E264" s="13"/>
      <c r="F264" s="13"/>
      <c r="G264" s="13"/>
      <c r="H264" s="38" t="s">
        <v>52</v>
      </c>
      <c r="I264" s="41">
        <f>2.93/4</f>
        <v>0.7325</v>
      </c>
      <c r="J264" s="40">
        <v>0.35</v>
      </c>
      <c r="K264" s="13"/>
    </row>
    <row r="265">
      <c r="A265" s="13"/>
      <c r="B265" s="13"/>
      <c r="C265" s="13"/>
      <c r="D265" s="13"/>
      <c r="E265" s="13"/>
      <c r="F265" s="13"/>
      <c r="G265" s="13"/>
      <c r="H265" s="38" t="s">
        <v>53</v>
      </c>
      <c r="I265" s="39">
        <f>2.92/4</f>
        <v>0.73</v>
      </c>
      <c r="J265" s="40">
        <v>0.15</v>
      </c>
      <c r="K265" s="13"/>
    </row>
    <row r="266">
      <c r="A266" s="13"/>
      <c r="B266" s="13"/>
      <c r="C266" s="13"/>
      <c r="D266" s="13"/>
      <c r="E266" s="15"/>
      <c r="F266" s="15"/>
      <c r="G266" s="15"/>
      <c r="H266" s="38" t="s">
        <v>54</v>
      </c>
      <c r="I266" s="39">
        <v>1.0</v>
      </c>
      <c r="J266" s="40">
        <v>0.15</v>
      </c>
      <c r="K266" s="13"/>
    </row>
    <row r="267">
      <c r="A267" s="13"/>
      <c r="B267" s="13"/>
      <c r="C267" s="13"/>
      <c r="D267" s="13"/>
      <c r="E267" s="35" t="s">
        <v>55</v>
      </c>
      <c r="F267" s="36">
        <f>(J267*I267)+(I268*J268)+(I269*J269)</f>
        <v>0.82075</v>
      </c>
      <c r="G267" s="36">
        <v>0.45</v>
      </c>
      <c r="H267" s="38" t="s">
        <v>56</v>
      </c>
      <c r="I267" s="41">
        <f>3.71/4</f>
        <v>0.9275</v>
      </c>
      <c r="J267" s="40">
        <v>0.3</v>
      </c>
      <c r="K267" s="13"/>
    </row>
    <row r="268">
      <c r="A268" s="13"/>
      <c r="B268" s="13"/>
      <c r="C268" s="13"/>
      <c r="D268" s="13"/>
      <c r="E268" s="13"/>
      <c r="F268" s="13"/>
      <c r="G268" s="13"/>
      <c r="H268" s="38" t="s">
        <v>57</v>
      </c>
      <c r="I268" s="41">
        <f>3.06/4</f>
        <v>0.765</v>
      </c>
      <c r="J268" s="40">
        <v>0.3</v>
      </c>
      <c r="K268" s="13"/>
    </row>
    <row r="269">
      <c r="A269" s="13"/>
      <c r="B269" s="15"/>
      <c r="C269" s="15"/>
      <c r="D269" s="15"/>
      <c r="E269" s="15"/>
      <c r="F269" s="15"/>
      <c r="G269" s="15"/>
      <c r="H269" s="38" t="s">
        <v>58</v>
      </c>
      <c r="I269" s="41">
        <f>3.13/4</f>
        <v>0.7825</v>
      </c>
      <c r="J269" s="40">
        <v>0.4</v>
      </c>
      <c r="K269" s="13"/>
    </row>
    <row r="270">
      <c r="A270" s="13"/>
      <c r="B270" s="42" t="s">
        <v>59</v>
      </c>
      <c r="C270" s="43">
        <f>(F270*G270)+(F272*G272)</f>
        <v>0.1</v>
      </c>
      <c r="D270" s="43">
        <v>0.1</v>
      </c>
      <c r="E270" s="42" t="s">
        <v>60</v>
      </c>
      <c r="F270" s="43">
        <f>(J270*I270)+(I271*J271)</f>
        <v>0</v>
      </c>
      <c r="G270" s="43">
        <v>0.0</v>
      </c>
      <c r="H270" s="44" t="s">
        <v>61</v>
      </c>
      <c r="I270" s="45">
        <v>0.0</v>
      </c>
      <c r="J270" s="46">
        <v>0.5</v>
      </c>
      <c r="K270" s="13"/>
    </row>
    <row r="271">
      <c r="A271" s="13"/>
      <c r="B271" s="13"/>
      <c r="C271" s="13"/>
      <c r="D271" s="13"/>
      <c r="E271" s="15"/>
      <c r="F271" s="15"/>
      <c r="G271" s="15"/>
      <c r="H271" s="44" t="s">
        <v>62</v>
      </c>
      <c r="I271" s="45">
        <v>0.0</v>
      </c>
      <c r="J271" s="46">
        <v>0.5</v>
      </c>
      <c r="K271" s="13"/>
    </row>
    <row r="272">
      <c r="A272" s="13"/>
      <c r="B272" s="13"/>
      <c r="C272" s="13"/>
      <c r="D272" s="13"/>
      <c r="E272" s="42" t="s">
        <v>63</v>
      </c>
      <c r="F272" s="43">
        <f>(J272*I272)+(I273*J273)</f>
        <v>0.1</v>
      </c>
      <c r="G272" s="43">
        <v>1.0</v>
      </c>
      <c r="H272" s="44" t="s">
        <v>64</v>
      </c>
      <c r="I272" s="45">
        <v>0.0</v>
      </c>
      <c r="J272" s="47">
        <v>0.6</v>
      </c>
      <c r="K272" s="13"/>
    </row>
    <row r="273">
      <c r="A273" s="15"/>
      <c r="B273" s="15"/>
      <c r="C273" s="15"/>
      <c r="D273" s="15"/>
      <c r="E273" s="15"/>
      <c r="F273" s="15"/>
      <c r="G273" s="15"/>
      <c r="H273" s="44" t="s">
        <v>65</v>
      </c>
      <c r="I273" s="45">
        <f>25/100</f>
        <v>0.25</v>
      </c>
      <c r="J273" s="47">
        <v>0.4</v>
      </c>
      <c r="K273" s="15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</row>
    <row r="276">
      <c r="A276" s="49" t="s">
        <v>75</v>
      </c>
      <c r="B276" s="6" t="s">
        <v>12</v>
      </c>
      <c r="C276" s="7">
        <f>(G276*F276)+(G280*F280)+(G282*F282)+(G285*F285)</f>
        <v>0.5336405</v>
      </c>
      <c r="D276" s="7">
        <v>0.3</v>
      </c>
      <c r="E276" s="6" t="s">
        <v>13</v>
      </c>
      <c r="F276" s="7">
        <f>(J276*I276)+(J277*I277)+(J278*I278)+(J279*I279)</f>
        <v>0.41375</v>
      </c>
      <c r="G276" s="7">
        <v>0.3</v>
      </c>
      <c r="H276" s="8" t="s">
        <v>14</v>
      </c>
      <c r="I276" s="9">
        <v>0.27</v>
      </c>
      <c r="J276" s="10">
        <v>0.15</v>
      </c>
      <c r="K276" s="11">
        <f>(C276*D276)+(C287*D287)+(C298*D298)+(C302*D302)+(C309*D309)</f>
        <v>0.58379215</v>
      </c>
    </row>
    <row r="277">
      <c r="A277" s="13"/>
      <c r="B277" s="13"/>
      <c r="C277" s="13"/>
      <c r="D277" s="13"/>
      <c r="E277" s="13"/>
      <c r="F277" s="13"/>
      <c r="G277" s="13"/>
      <c r="H277" s="8" t="s">
        <v>15</v>
      </c>
      <c r="I277" s="9">
        <v>0.39</v>
      </c>
      <c r="J277" s="10">
        <v>0.5</v>
      </c>
      <c r="K277" s="13"/>
    </row>
    <row r="278">
      <c r="A278" s="13"/>
      <c r="B278" s="13"/>
      <c r="C278" s="13"/>
      <c r="D278" s="13"/>
      <c r="E278" s="13"/>
      <c r="F278" s="13"/>
      <c r="G278" s="13"/>
      <c r="H278" s="8" t="s">
        <v>16</v>
      </c>
      <c r="I278" s="14">
        <f>7.35/10</f>
        <v>0.735</v>
      </c>
      <c r="J278" s="10">
        <v>0.15</v>
      </c>
      <c r="K278" s="13"/>
    </row>
    <row r="279">
      <c r="A279" s="13"/>
      <c r="B279" s="13"/>
      <c r="C279" s="13"/>
      <c r="D279" s="13"/>
      <c r="E279" s="15"/>
      <c r="F279" s="15"/>
      <c r="G279" s="15"/>
      <c r="H279" s="8" t="s">
        <v>17</v>
      </c>
      <c r="I279" s="9">
        <v>0.34</v>
      </c>
      <c r="J279" s="10">
        <v>0.2</v>
      </c>
      <c r="K279" s="13"/>
    </row>
    <row r="280">
      <c r="A280" s="13"/>
      <c r="B280" s="13"/>
      <c r="C280" s="13"/>
      <c r="D280" s="13"/>
      <c r="E280" s="6" t="s">
        <v>18</v>
      </c>
      <c r="F280" s="7">
        <f>(J280*I280)+(I281*J281)</f>
        <v>0.725</v>
      </c>
      <c r="G280" s="7">
        <v>0.25</v>
      </c>
      <c r="H280" s="8" t="s">
        <v>19</v>
      </c>
      <c r="I280" s="9">
        <v>0.8</v>
      </c>
      <c r="J280" s="10">
        <v>0.7</v>
      </c>
      <c r="K280" s="13"/>
    </row>
    <row r="281">
      <c r="A281" s="13"/>
      <c r="B281" s="13"/>
      <c r="C281" s="13"/>
      <c r="D281" s="13"/>
      <c r="E281" s="15"/>
      <c r="F281" s="15"/>
      <c r="G281" s="15"/>
      <c r="H281" s="8" t="s">
        <v>20</v>
      </c>
      <c r="I281" s="9">
        <f>2.2/4</f>
        <v>0.55</v>
      </c>
      <c r="J281" s="10">
        <v>0.3</v>
      </c>
      <c r="K281" s="13"/>
    </row>
    <row r="282">
      <c r="A282" s="13"/>
      <c r="B282" s="13"/>
      <c r="C282" s="13"/>
      <c r="D282" s="13"/>
      <c r="E282" s="6" t="s">
        <v>21</v>
      </c>
      <c r="F282" s="7">
        <f>(J282*I282)+(I283*J283)+(I284*J284)</f>
        <v>0.432885</v>
      </c>
      <c r="G282" s="7">
        <v>0.3</v>
      </c>
      <c r="H282" s="8" t="s">
        <v>22</v>
      </c>
      <c r="I282" s="14">
        <f>27.11/100</f>
        <v>0.2711</v>
      </c>
      <c r="J282" s="10">
        <v>0.35</v>
      </c>
      <c r="K282" s="13"/>
    </row>
    <row r="283">
      <c r="A283" s="13"/>
      <c r="B283" s="13"/>
      <c r="C283" s="13"/>
      <c r="D283" s="13"/>
      <c r="E283" s="13"/>
      <c r="F283" s="13"/>
      <c r="G283" s="13"/>
      <c r="H283" s="8" t="s">
        <v>23</v>
      </c>
      <c r="I283" s="9">
        <f>24/100</f>
        <v>0.24</v>
      </c>
      <c r="J283" s="10">
        <v>0.3</v>
      </c>
      <c r="K283" s="13"/>
    </row>
    <row r="284">
      <c r="A284" s="13"/>
      <c r="B284" s="13"/>
      <c r="C284" s="13"/>
      <c r="D284" s="13"/>
      <c r="E284" s="15"/>
      <c r="F284" s="15"/>
      <c r="G284" s="15"/>
      <c r="H284" s="8" t="s">
        <v>24</v>
      </c>
      <c r="I284" s="9">
        <v>0.76</v>
      </c>
      <c r="J284" s="10">
        <v>0.35</v>
      </c>
      <c r="K284" s="13"/>
    </row>
    <row r="285">
      <c r="A285" s="13"/>
      <c r="B285" s="13"/>
      <c r="C285" s="13"/>
      <c r="D285" s="13"/>
      <c r="E285" s="6" t="s">
        <v>25</v>
      </c>
      <c r="F285" s="7">
        <f>(J285*I285)+(I286*J286)</f>
        <v>0.656</v>
      </c>
      <c r="G285" s="7">
        <v>0.15</v>
      </c>
      <c r="H285" s="8" t="s">
        <v>26</v>
      </c>
      <c r="I285" s="9">
        <v>0.56</v>
      </c>
      <c r="J285" s="10">
        <v>0.6</v>
      </c>
      <c r="K285" s="13"/>
    </row>
    <row r="286">
      <c r="A286" s="13"/>
      <c r="B286" s="15"/>
      <c r="C286" s="15"/>
      <c r="D286" s="15"/>
      <c r="E286" s="15"/>
      <c r="F286" s="15"/>
      <c r="G286" s="15"/>
      <c r="H286" s="16" t="s">
        <v>27</v>
      </c>
      <c r="I286" s="9">
        <f>3.2/4</f>
        <v>0.8</v>
      </c>
      <c r="J286" s="17">
        <v>0.4</v>
      </c>
      <c r="K286" s="13"/>
    </row>
    <row r="287">
      <c r="A287" s="13"/>
      <c r="B287" s="18" t="s">
        <v>28</v>
      </c>
      <c r="C287" s="19">
        <f>(G287*F287)+(F291*G291)+(F295*G295)</f>
        <v>0.5463375</v>
      </c>
      <c r="D287" s="19">
        <v>0.2</v>
      </c>
      <c r="E287" s="20" t="s">
        <v>29</v>
      </c>
      <c r="F287" s="19">
        <f>(J287*I287)+(J288*I288)+(J289*I289)+(J290*I290)</f>
        <v>0.25575</v>
      </c>
      <c r="G287" s="19">
        <v>0.35</v>
      </c>
      <c r="H287" s="21" t="s">
        <v>30</v>
      </c>
      <c r="I287" s="22">
        <f>5/10</f>
        <v>0.5</v>
      </c>
      <c r="J287" s="23">
        <v>0.3</v>
      </c>
      <c r="K287" s="13"/>
    </row>
    <row r="288">
      <c r="A288" s="13"/>
      <c r="B288" s="13"/>
      <c r="C288" s="13"/>
      <c r="D288" s="13"/>
      <c r="E288" s="13"/>
      <c r="F288" s="13"/>
      <c r="G288" s="13"/>
      <c r="H288" s="21" t="s">
        <v>31</v>
      </c>
      <c r="I288" s="24">
        <f>0.46/4</f>
        <v>0.115</v>
      </c>
      <c r="J288" s="23">
        <v>0.2</v>
      </c>
      <c r="K288" s="13"/>
    </row>
    <row r="289">
      <c r="A289" s="13"/>
      <c r="B289" s="13"/>
      <c r="C289" s="13"/>
      <c r="D289" s="13"/>
      <c r="E289" s="13"/>
      <c r="F289" s="13"/>
      <c r="G289" s="13"/>
      <c r="H289" s="21" t="s">
        <v>32</v>
      </c>
      <c r="I289" s="24">
        <f>0.71/4</f>
        <v>0.1775</v>
      </c>
      <c r="J289" s="23">
        <v>0.2</v>
      </c>
      <c r="K289" s="13"/>
    </row>
    <row r="290">
      <c r="A290" s="13"/>
      <c r="B290" s="13"/>
      <c r="C290" s="13"/>
      <c r="D290" s="13"/>
      <c r="E290" s="15"/>
      <c r="F290" s="15"/>
      <c r="G290" s="15"/>
      <c r="H290" s="21" t="s">
        <v>33</v>
      </c>
      <c r="I290" s="22">
        <f>0.63/4</f>
        <v>0.1575</v>
      </c>
      <c r="J290" s="23">
        <v>0.3</v>
      </c>
      <c r="K290" s="13"/>
    </row>
    <row r="291">
      <c r="A291" s="13"/>
      <c r="B291" s="13"/>
      <c r="C291" s="13"/>
      <c r="D291" s="13"/>
      <c r="E291" s="25" t="s">
        <v>34</v>
      </c>
      <c r="F291" s="19">
        <f>(J291*I291)+(J292*I292)+(J293*I293)</f>
        <v>0.798</v>
      </c>
      <c r="G291" s="19">
        <v>0.4</v>
      </c>
      <c r="H291" s="21" t="s">
        <v>35</v>
      </c>
      <c r="I291" s="22">
        <v>0.756</v>
      </c>
      <c r="J291" s="23">
        <v>0.5</v>
      </c>
      <c r="K291" s="13"/>
    </row>
    <row r="292">
      <c r="A292" s="13"/>
      <c r="B292" s="13"/>
      <c r="C292" s="13"/>
      <c r="D292" s="13"/>
      <c r="E292" s="13"/>
      <c r="F292" s="13"/>
      <c r="G292" s="13"/>
      <c r="H292" s="21" t="s">
        <v>36</v>
      </c>
      <c r="I292" s="22">
        <f>(100-15)/100</f>
        <v>0.85</v>
      </c>
      <c r="J292" s="23">
        <v>0.3</v>
      </c>
      <c r="K292" s="13"/>
    </row>
    <row r="293">
      <c r="A293" s="13"/>
      <c r="B293" s="13"/>
      <c r="C293" s="13"/>
      <c r="D293" s="13"/>
      <c r="E293" s="13"/>
      <c r="F293" s="13"/>
      <c r="G293" s="13"/>
      <c r="H293" s="26" t="s">
        <v>37</v>
      </c>
      <c r="I293" s="27">
        <f>3.3/4</f>
        <v>0.825</v>
      </c>
      <c r="J293" s="19">
        <v>0.2</v>
      </c>
      <c r="K293" s="13"/>
    </row>
    <row r="294">
      <c r="A294" s="13"/>
      <c r="B294" s="13"/>
      <c r="C294" s="13"/>
      <c r="D294" s="13"/>
      <c r="E294" s="15"/>
      <c r="F294" s="15"/>
      <c r="G294" s="15"/>
      <c r="H294" s="15"/>
      <c r="I294" s="15"/>
      <c r="J294" s="15"/>
      <c r="K294" s="13"/>
    </row>
    <row r="295">
      <c r="A295" s="13"/>
      <c r="B295" s="13"/>
      <c r="C295" s="13"/>
      <c r="D295" s="13"/>
      <c r="E295" s="25" t="s">
        <v>38</v>
      </c>
      <c r="F295" s="19">
        <f>(J295*I295)+(I296*J296)+(I297*J297)</f>
        <v>0.5505</v>
      </c>
      <c r="G295" s="19">
        <v>0.25</v>
      </c>
      <c r="H295" s="21" t="s">
        <v>39</v>
      </c>
      <c r="I295" s="24">
        <f>(100-44.2)/100</f>
        <v>0.558</v>
      </c>
      <c r="J295" s="23">
        <v>0.25</v>
      </c>
      <c r="K295" s="13"/>
    </row>
    <row r="296">
      <c r="A296" s="13"/>
      <c r="B296" s="13"/>
      <c r="C296" s="13"/>
      <c r="D296" s="13"/>
      <c r="E296" s="13"/>
      <c r="F296" s="13"/>
      <c r="G296" s="13"/>
      <c r="H296" s="21" t="s">
        <v>40</v>
      </c>
      <c r="I296" s="24">
        <f>1.69/4</f>
        <v>0.4225</v>
      </c>
      <c r="J296" s="23">
        <v>0.5</v>
      </c>
      <c r="K296" s="13"/>
    </row>
    <row r="297">
      <c r="A297" s="13"/>
      <c r="B297" s="15"/>
      <c r="C297" s="15"/>
      <c r="D297" s="15"/>
      <c r="E297" s="15"/>
      <c r="F297" s="15"/>
      <c r="G297" s="15"/>
      <c r="H297" s="21" t="s">
        <v>41</v>
      </c>
      <c r="I297" s="24">
        <f>(100-20.1)/100</f>
        <v>0.799</v>
      </c>
      <c r="J297" s="23">
        <v>0.25</v>
      </c>
      <c r="K297" s="13"/>
    </row>
    <row r="298">
      <c r="A298" s="13"/>
      <c r="B298" s="28" t="s">
        <v>42</v>
      </c>
      <c r="C298" s="29">
        <f>(G298*F298)+(F300*G300)</f>
        <v>0.5063</v>
      </c>
      <c r="D298" s="29">
        <v>0.2</v>
      </c>
      <c r="E298" s="30" t="s">
        <v>43</v>
      </c>
      <c r="F298" s="29">
        <f>(J298*I298)+(I299*J299)</f>
        <v>0.3673333333</v>
      </c>
      <c r="G298" s="29">
        <v>0.45</v>
      </c>
      <c r="H298" s="31" t="s">
        <v>44</v>
      </c>
      <c r="I298" s="32">
        <v>0.45</v>
      </c>
      <c r="J298" s="33">
        <v>0.6</v>
      </c>
      <c r="K298" s="13"/>
    </row>
    <row r="299">
      <c r="A299" s="13"/>
      <c r="B299" s="13"/>
      <c r="C299" s="13"/>
      <c r="D299" s="13"/>
      <c r="E299" s="15"/>
      <c r="F299" s="15"/>
      <c r="G299" s="15"/>
      <c r="H299" s="31" t="s">
        <v>45</v>
      </c>
      <c r="I299" s="34">
        <f>0.73/3</f>
        <v>0.2433333333</v>
      </c>
      <c r="J299" s="33">
        <v>0.4</v>
      </c>
      <c r="K299" s="13"/>
    </row>
    <row r="300">
      <c r="A300" s="13"/>
      <c r="B300" s="13"/>
      <c r="C300" s="13"/>
      <c r="D300" s="13"/>
      <c r="E300" s="30" t="s">
        <v>46</v>
      </c>
      <c r="F300" s="29">
        <f>(J300*I300)+(I301*J301)</f>
        <v>0.62</v>
      </c>
      <c r="G300" s="29">
        <v>0.55</v>
      </c>
      <c r="H300" s="31" t="s">
        <v>47</v>
      </c>
      <c r="I300" s="32">
        <f>((7+7+7)/3)/10</f>
        <v>0.7</v>
      </c>
      <c r="J300" s="33">
        <v>0.6</v>
      </c>
      <c r="K300" s="13"/>
    </row>
    <row r="301">
      <c r="A301" s="13"/>
      <c r="B301" s="15"/>
      <c r="C301" s="15"/>
      <c r="D301" s="15"/>
      <c r="E301" s="15"/>
      <c r="F301" s="15"/>
      <c r="G301" s="15"/>
      <c r="H301" s="31" t="s">
        <v>48</v>
      </c>
      <c r="I301" s="32">
        <v>0.5</v>
      </c>
      <c r="J301" s="33">
        <v>0.4</v>
      </c>
      <c r="K301" s="13"/>
    </row>
    <row r="302">
      <c r="A302" s="13"/>
      <c r="B302" s="35" t="s">
        <v>49</v>
      </c>
      <c r="C302" s="36">
        <f>(F302*G302)+(F306*G306)</f>
        <v>0.8154625</v>
      </c>
      <c r="D302" s="36">
        <v>0.2</v>
      </c>
      <c r="E302" s="37" t="s">
        <v>50</v>
      </c>
      <c r="F302" s="36">
        <f>(J302*I302)+(J303*I303)+(J304*I304)+(J305*I305)</f>
        <v>0.75325</v>
      </c>
      <c r="G302" s="36">
        <v>0.55</v>
      </c>
      <c r="H302" s="38" t="s">
        <v>51</v>
      </c>
      <c r="I302" s="39">
        <v>0.63</v>
      </c>
      <c r="J302" s="40">
        <v>0.35</v>
      </c>
      <c r="K302" s="13"/>
    </row>
    <row r="303">
      <c r="A303" s="13"/>
      <c r="B303" s="13"/>
      <c r="C303" s="13"/>
      <c r="D303" s="13"/>
      <c r="E303" s="13"/>
      <c r="F303" s="13"/>
      <c r="G303" s="13"/>
      <c r="H303" s="38" t="s">
        <v>52</v>
      </c>
      <c r="I303" s="41">
        <f>2.93/4</f>
        <v>0.7325</v>
      </c>
      <c r="J303" s="40">
        <v>0.35</v>
      </c>
      <c r="K303" s="13"/>
    </row>
    <row r="304">
      <c r="A304" s="13"/>
      <c r="B304" s="13"/>
      <c r="C304" s="13"/>
      <c r="D304" s="13"/>
      <c r="E304" s="13"/>
      <c r="F304" s="13"/>
      <c r="G304" s="13"/>
      <c r="H304" s="38" t="s">
        <v>53</v>
      </c>
      <c r="I304" s="41">
        <f>3.37/4</f>
        <v>0.8425</v>
      </c>
      <c r="J304" s="40">
        <v>0.15</v>
      </c>
      <c r="K304" s="13"/>
    </row>
    <row r="305">
      <c r="A305" s="13"/>
      <c r="B305" s="13"/>
      <c r="C305" s="13"/>
      <c r="D305" s="13"/>
      <c r="E305" s="15"/>
      <c r="F305" s="15"/>
      <c r="G305" s="15"/>
      <c r="H305" s="38" t="s">
        <v>54</v>
      </c>
      <c r="I305" s="39">
        <v>1.0</v>
      </c>
      <c r="J305" s="40">
        <v>0.15</v>
      </c>
      <c r="K305" s="13"/>
    </row>
    <row r="306">
      <c r="A306" s="13"/>
      <c r="B306" s="13"/>
      <c r="C306" s="13"/>
      <c r="D306" s="13"/>
      <c r="E306" s="35" t="s">
        <v>55</v>
      </c>
      <c r="F306" s="36">
        <f>(J306*I306)+(I307*J307)+(I308*J308)</f>
        <v>0.8915</v>
      </c>
      <c r="G306" s="36">
        <v>0.45</v>
      </c>
      <c r="H306" s="38" t="s">
        <v>56</v>
      </c>
      <c r="I306" s="41">
        <f>3.76/4</f>
        <v>0.94</v>
      </c>
      <c r="J306" s="40">
        <v>0.3</v>
      </c>
      <c r="K306" s="13"/>
    </row>
    <row r="307">
      <c r="A307" s="13"/>
      <c r="B307" s="13"/>
      <c r="C307" s="13"/>
      <c r="D307" s="13"/>
      <c r="E307" s="13"/>
      <c r="F307" s="13"/>
      <c r="G307" s="13"/>
      <c r="H307" s="38" t="s">
        <v>57</v>
      </c>
      <c r="I307" s="41">
        <f>3.18/4</f>
        <v>0.795</v>
      </c>
      <c r="J307" s="40">
        <v>0.3</v>
      </c>
      <c r="K307" s="13"/>
    </row>
    <row r="308">
      <c r="A308" s="13"/>
      <c r="B308" s="15"/>
      <c r="C308" s="15"/>
      <c r="D308" s="15"/>
      <c r="E308" s="15"/>
      <c r="F308" s="15"/>
      <c r="G308" s="15"/>
      <c r="H308" s="38" t="s">
        <v>58</v>
      </c>
      <c r="I308" s="41">
        <f>3.71/4</f>
        <v>0.9275</v>
      </c>
      <c r="J308" s="40">
        <v>0.4</v>
      </c>
      <c r="K308" s="13"/>
    </row>
    <row r="309">
      <c r="A309" s="13"/>
      <c r="B309" s="42" t="s">
        <v>59</v>
      </c>
      <c r="C309" s="43">
        <f>(F309*G309)+(F311*G311)</f>
        <v>0.5008</v>
      </c>
      <c r="D309" s="43">
        <v>0.1</v>
      </c>
      <c r="E309" s="42" t="s">
        <v>60</v>
      </c>
      <c r="F309" s="43">
        <f>(J309*I309)+(I310*J310)</f>
        <v>0.6666666667</v>
      </c>
      <c r="G309" s="43">
        <v>0.6</v>
      </c>
      <c r="H309" s="44" t="s">
        <v>61</v>
      </c>
      <c r="I309" s="45">
        <v>1.0</v>
      </c>
      <c r="J309" s="46">
        <v>0.5</v>
      </c>
      <c r="K309" s="13"/>
    </row>
    <row r="310">
      <c r="A310" s="13"/>
      <c r="B310" s="13"/>
      <c r="C310" s="13"/>
      <c r="D310" s="13"/>
      <c r="E310" s="15"/>
      <c r="F310" s="15"/>
      <c r="G310" s="15"/>
      <c r="H310" s="44" t="s">
        <v>62</v>
      </c>
      <c r="I310" s="51">
        <f>1/3</f>
        <v>0.3333333333</v>
      </c>
      <c r="J310" s="46">
        <v>0.5</v>
      </c>
      <c r="K310" s="13"/>
    </row>
    <row r="311">
      <c r="A311" s="13"/>
      <c r="B311" s="13"/>
      <c r="C311" s="13"/>
      <c r="D311" s="13"/>
      <c r="E311" s="42" t="s">
        <v>63</v>
      </c>
      <c r="F311" s="43">
        <f>(J311*I311)+(I312*J312)</f>
        <v>0.252</v>
      </c>
      <c r="G311" s="43">
        <v>0.4</v>
      </c>
      <c r="H311" s="44" t="s">
        <v>64</v>
      </c>
      <c r="I311" s="45">
        <v>0.0</v>
      </c>
      <c r="J311" s="47">
        <v>0.6</v>
      </c>
      <c r="K311" s="13"/>
    </row>
    <row r="312">
      <c r="A312" s="15"/>
      <c r="B312" s="15"/>
      <c r="C312" s="15"/>
      <c r="D312" s="15"/>
      <c r="E312" s="15"/>
      <c r="F312" s="15"/>
      <c r="G312" s="15"/>
      <c r="H312" s="44" t="s">
        <v>65</v>
      </c>
      <c r="I312" s="45">
        <f>63/100</f>
        <v>0.63</v>
      </c>
      <c r="J312" s="47">
        <v>0.4</v>
      </c>
      <c r="K312" s="15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</row>
    <row r="315">
      <c r="A315" s="49" t="s">
        <v>76</v>
      </c>
      <c r="B315" s="6" t="s">
        <v>12</v>
      </c>
      <c r="C315" s="7">
        <f>(G315*F315)+(G319*F319)+(G321*F321)+(G324*F324)</f>
        <v>0.5310485</v>
      </c>
      <c r="D315" s="7">
        <v>0.3</v>
      </c>
      <c r="E315" s="6" t="s">
        <v>13</v>
      </c>
      <c r="F315" s="7">
        <f>(J315*I315)+(J316*I316)+(J317*I317)+(J318*I318)</f>
        <v>0.57605</v>
      </c>
      <c r="G315" s="7">
        <v>0.3</v>
      </c>
      <c r="H315" s="8" t="s">
        <v>14</v>
      </c>
      <c r="I315" s="9">
        <v>0.48</v>
      </c>
      <c r="J315" s="10">
        <v>0.15</v>
      </c>
      <c r="K315" s="11">
        <f>(C315*D315)+(C326*D326)+(C337*D337)+(C341*D341)+(C348*D348)</f>
        <v>0.58669455</v>
      </c>
    </row>
    <row r="316">
      <c r="A316" s="13"/>
      <c r="B316" s="13"/>
      <c r="C316" s="13"/>
      <c r="D316" s="13"/>
      <c r="E316" s="13"/>
      <c r="F316" s="13"/>
      <c r="G316" s="13"/>
      <c r="H316" s="8" t="s">
        <v>15</v>
      </c>
      <c r="I316" s="9">
        <v>0.59</v>
      </c>
      <c r="J316" s="10">
        <v>0.5</v>
      </c>
      <c r="K316" s="13"/>
    </row>
    <row r="317">
      <c r="A317" s="13"/>
      <c r="B317" s="13"/>
      <c r="C317" s="13"/>
      <c r="D317" s="13"/>
      <c r="E317" s="13"/>
      <c r="F317" s="13"/>
      <c r="G317" s="13"/>
      <c r="H317" s="8" t="s">
        <v>16</v>
      </c>
      <c r="I317" s="14">
        <f>6.47/10</f>
        <v>0.647</v>
      </c>
      <c r="J317" s="10">
        <v>0.15</v>
      </c>
      <c r="K317" s="13"/>
    </row>
    <row r="318">
      <c r="A318" s="13"/>
      <c r="B318" s="13"/>
      <c r="C318" s="13"/>
      <c r="D318" s="13"/>
      <c r="E318" s="15"/>
      <c r="F318" s="15"/>
      <c r="G318" s="15"/>
      <c r="H318" s="8" t="s">
        <v>17</v>
      </c>
      <c r="I318" s="9">
        <v>0.56</v>
      </c>
      <c r="J318" s="10">
        <v>0.2</v>
      </c>
      <c r="K318" s="13"/>
    </row>
    <row r="319">
      <c r="A319" s="13"/>
      <c r="B319" s="13"/>
      <c r="C319" s="13"/>
      <c r="D319" s="13"/>
      <c r="E319" s="6" t="s">
        <v>18</v>
      </c>
      <c r="F319" s="7">
        <f>(J319*I319)+(I320*J320)</f>
        <v>0.515</v>
      </c>
      <c r="G319" s="7">
        <v>0.25</v>
      </c>
      <c r="H319" s="8" t="s">
        <v>19</v>
      </c>
      <c r="I319" s="9">
        <v>0.5</v>
      </c>
      <c r="J319" s="10">
        <v>0.7</v>
      </c>
      <c r="K319" s="13"/>
    </row>
    <row r="320">
      <c r="A320" s="13"/>
      <c r="B320" s="13"/>
      <c r="C320" s="13"/>
      <c r="D320" s="13"/>
      <c r="E320" s="15"/>
      <c r="F320" s="15"/>
      <c r="G320" s="15"/>
      <c r="H320" s="8" t="s">
        <v>20</v>
      </c>
      <c r="I320" s="9">
        <f>2.2/4</f>
        <v>0.55</v>
      </c>
      <c r="J320" s="10">
        <v>0.3</v>
      </c>
      <c r="K320" s="13"/>
    </row>
    <row r="321">
      <c r="A321" s="13"/>
      <c r="B321" s="13"/>
      <c r="C321" s="13"/>
      <c r="D321" s="13"/>
      <c r="E321" s="6" t="s">
        <v>21</v>
      </c>
      <c r="F321" s="7">
        <f>(J321*I321)+(I322*J322)+(I323*J323)</f>
        <v>0.472445</v>
      </c>
      <c r="G321" s="7">
        <v>0.3</v>
      </c>
      <c r="H321" s="8" t="s">
        <v>22</v>
      </c>
      <c r="I321" s="14">
        <f>33.27/100</f>
        <v>0.3327</v>
      </c>
      <c r="J321" s="10">
        <v>0.35</v>
      </c>
      <c r="K321" s="13"/>
    </row>
    <row r="322">
      <c r="A322" s="13"/>
      <c r="B322" s="13"/>
      <c r="C322" s="13"/>
      <c r="D322" s="13"/>
      <c r="E322" s="13"/>
      <c r="F322" s="13"/>
      <c r="G322" s="13"/>
      <c r="H322" s="8" t="s">
        <v>23</v>
      </c>
      <c r="I322" s="9">
        <f>30/100</f>
        <v>0.3</v>
      </c>
      <c r="J322" s="10">
        <v>0.3</v>
      </c>
      <c r="K322" s="13"/>
    </row>
    <row r="323">
      <c r="A323" s="13"/>
      <c r="B323" s="13"/>
      <c r="C323" s="13"/>
      <c r="D323" s="13"/>
      <c r="E323" s="15"/>
      <c r="F323" s="15"/>
      <c r="G323" s="15"/>
      <c r="H323" s="8" t="s">
        <v>24</v>
      </c>
      <c r="I323" s="9">
        <v>0.76</v>
      </c>
      <c r="J323" s="10">
        <v>0.35</v>
      </c>
      <c r="K323" s="13"/>
    </row>
    <row r="324">
      <c r="A324" s="13"/>
      <c r="B324" s="13"/>
      <c r="C324" s="13"/>
      <c r="D324" s="13"/>
      <c r="E324" s="6" t="s">
        <v>25</v>
      </c>
      <c r="F324" s="7">
        <f>(J324*I324)+(I325*J325)</f>
        <v>0.585</v>
      </c>
      <c r="G324" s="7">
        <v>0.15</v>
      </c>
      <c r="H324" s="8" t="s">
        <v>26</v>
      </c>
      <c r="I324" s="9">
        <v>0.52</v>
      </c>
      <c r="J324" s="10">
        <v>0.6</v>
      </c>
      <c r="K324" s="13"/>
    </row>
    <row r="325">
      <c r="A325" s="13"/>
      <c r="B325" s="15"/>
      <c r="C325" s="15"/>
      <c r="D325" s="15"/>
      <c r="E325" s="15"/>
      <c r="F325" s="15"/>
      <c r="G325" s="15"/>
      <c r="H325" s="16" t="s">
        <v>27</v>
      </c>
      <c r="I325" s="14">
        <f>2.73/4</f>
        <v>0.6825</v>
      </c>
      <c r="J325" s="17">
        <v>0.4</v>
      </c>
      <c r="K325" s="13"/>
    </row>
    <row r="326">
      <c r="A326" s="13"/>
      <c r="B326" s="18" t="s">
        <v>28</v>
      </c>
      <c r="C326" s="19">
        <f>(G326*F326)+(F330*G330)+(F334*G334)</f>
        <v>0.5951625</v>
      </c>
      <c r="D326" s="19">
        <v>0.2</v>
      </c>
      <c r="E326" s="20" t="s">
        <v>29</v>
      </c>
      <c r="F326" s="19">
        <f>(J326*I326)+(J327*I327)+(J328*I328)+(J329*I329)</f>
        <v>0.37775</v>
      </c>
      <c r="G326" s="19">
        <v>0.35</v>
      </c>
      <c r="H326" s="21" t="s">
        <v>30</v>
      </c>
      <c r="I326" s="22">
        <f>6/10</f>
        <v>0.6</v>
      </c>
      <c r="J326" s="23">
        <v>0.3</v>
      </c>
      <c r="K326" s="13"/>
    </row>
    <row r="327">
      <c r="A327" s="13"/>
      <c r="B327" s="13"/>
      <c r="C327" s="13"/>
      <c r="D327" s="13"/>
      <c r="E327" s="13"/>
      <c r="F327" s="13"/>
      <c r="G327" s="13"/>
      <c r="H327" s="21" t="s">
        <v>31</v>
      </c>
      <c r="I327" s="24">
        <f>1.14/4</f>
        <v>0.285</v>
      </c>
      <c r="J327" s="23">
        <v>0.2</v>
      </c>
      <c r="K327" s="13"/>
    </row>
    <row r="328">
      <c r="A328" s="13"/>
      <c r="B328" s="13"/>
      <c r="C328" s="13"/>
      <c r="D328" s="13"/>
      <c r="E328" s="13"/>
      <c r="F328" s="13"/>
      <c r="G328" s="13"/>
      <c r="H328" s="21" t="s">
        <v>32</v>
      </c>
      <c r="I328" s="24">
        <f>1.27/4</f>
        <v>0.3175</v>
      </c>
      <c r="J328" s="23">
        <v>0.2</v>
      </c>
      <c r="K328" s="13"/>
    </row>
    <row r="329">
      <c r="A329" s="13"/>
      <c r="B329" s="13"/>
      <c r="C329" s="13"/>
      <c r="D329" s="13"/>
      <c r="E329" s="15"/>
      <c r="F329" s="15"/>
      <c r="G329" s="15"/>
      <c r="H329" s="21" t="s">
        <v>33</v>
      </c>
      <c r="I329" s="22">
        <f>1.03/4</f>
        <v>0.2575</v>
      </c>
      <c r="J329" s="23">
        <v>0.3</v>
      </c>
      <c r="K329" s="13"/>
    </row>
    <row r="330">
      <c r="A330" s="13"/>
      <c r="B330" s="13"/>
      <c r="C330" s="13"/>
      <c r="D330" s="13"/>
      <c r="E330" s="25" t="s">
        <v>34</v>
      </c>
      <c r="F330" s="19">
        <f>(J330*I330)+(J331*I331)+(J332*I332)</f>
        <v>0.7905</v>
      </c>
      <c r="G330" s="19">
        <v>0.4</v>
      </c>
      <c r="H330" s="21" t="s">
        <v>35</v>
      </c>
      <c r="I330" s="22">
        <v>0.794</v>
      </c>
      <c r="J330" s="23">
        <v>0.5</v>
      </c>
      <c r="K330" s="13"/>
    </row>
    <row r="331">
      <c r="A331" s="13"/>
      <c r="B331" s="13"/>
      <c r="C331" s="13"/>
      <c r="D331" s="13"/>
      <c r="E331" s="13"/>
      <c r="F331" s="13"/>
      <c r="G331" s="13"/>
      <c r="H331" s="21" t="s">
        <v>36</v>
      </c>
      <c r="I331" s="22">
        <f>(100-11)/100</f>
        <v>0.89</v>
      </c>
      <c r="J331" s="23">
        <v>0.3</v>
      </c>
      <c r="K331" s="13"/>
    </row>
    <row r="332">
      <c r="A332" s="13"/>
      <c r="B332" s="13"/>
      <c r="C332" s="13"/>
      <c r="D332" s="13"/>
      <c r="E332" s="13"/>
      <c r="F332" s="13"/>
      <c r="G332" s="13"/>
      <c r="H332" s="26" t="s">
        <v>37</v>
      </c>
      <c r="I332" s="27">
        <f>2.53/4</f>
        <v>0.6325</v>
      </c>
      <c r="J332" s="19">
        <v>0.2</v>
      </c>
      <c r="K332" s="13"/>
    </row>
    <row r="333">
      <c r="A333" s="13"/>
      <c r="B333" s="13"/>
      <c r="C333" s="13"/>
      <c r="D333" s="13"/>
      <c r="E333" s="15"/>
      <c r="F333" s="15"/>
      <c r="G333" s="15"/>
      <c r="H333" s="15"/>
      <c r="I333" s="15"/>
      <c r="J333" s="15"/>
      <c r="K333" s="13"/>
    </row>
    <row r="334">
      <c r="A334" s="13"/>
      <c r="B334" s="13"/>
      <c r="C334" s="13"/>
      <c r="D334" s="13"/>
      <c r="E334" s="25" t="s">
        <v>38</v>
      </c>
      <c r="F334" s="19">
        <f>(J334*I334)+(I335*J335)+(I336*J336)</f>
        <v>0.587</v>
      </c>
      <c r="G334" s="19">
        <v>0.25</v>
      </c>
      <c r="H334" s="21" t="s">
        <v>68</v>
      </c>
      <c r="I334" s="24">
        <f>(100-40.1)/100</f>
        <v>0.599</v>
      </c>
      <c r="J334" s="23">
        <v>0.25</v>
      </c>
      <c r="K334" s="13"/>
    </row>
    <row r="335">
      <c r="A335" s="13"/>
      <c r="B335" s="13"/>
      <c r="C335" s="13"/>
      <c r="D335" s="13"/>
      <c r="E335" s="13"/>
      <c r="F335" s="13"/>
      <c r="G335" s="13"/>
      <c r="H335" s="21" t="s">
        <v>40</v>
      </c>
      <c r="I335" s="24">
        <f>2.05/4</f>
        <v>0.5125</v>
      </c>
      <c r="J335" s="23">
        <v>0.5</v>
      </c>
      <c r="K335" s="13"/>
    </row>
    <row r="336">
      <c r="A336" s="13"/>
      <c r="B336" s="15"/>
      <c r="C336" s="15"/>
      <c r="D336" s="15"/>
      <c r="E336" s="15"/>
      <c r="F336" s="15"/>
      <c r="G336" s="15"/>
      <c r="H336" s="21" t="s">
        <v>69</v>
      </c>
      <c r="I336" s="24">
        <f>(100-27.6)/100</f>
        <v>0.724</v>
      </c>
      <c r="J336" s="23">
        <v>0.25</v>
      </c>
      <c r="K336" s="13"/>
    </row>
    <row r="337">
      <c r="A337" s="13"/>
      <c r="B337" s="28" t="s">
        <v>42</v>
      </c>
      <c r="C337" s="29">
        <f>(G337*F337)+(F339*G339)</f>
        <v>0.3927</v>
      </c>
      <c r="D337" s="29">
        <v>0.2</v>
      </c>
      <c r="E337" s="30" t="s">
        <v>43</v>
      </c>
      <c r="F337" s="29">
        <f>(J337*I337)+(I338*J338)</f>
        <v>0.4326666667</v>
      </c>
      <c r="G337" s="29">
        <v>0.45</v>
      </c>
      <c r="H337" s="31" t="s">
        <v>44</v>
      </c>
      <c r="I337" s="32">
        <v>0.47</v>
      </c>
      <c r="J337" s="33">
        <v>0.6</v>
      </c>
      <c r="K337" s="13"/>
    </row>
    <row r="338">
      <c r="A338" s="13"/>
      <c r="B338" s="13"/>
      <c r="C338" s="13"/>
      <c r="D338" s="13"/>
      <c r="E338" s="15"/>
      <c r="F338" s="15"/>
      <c r="G338" s="15"/>
      <c r="H338" s="31" t="s">
        <v>45</v>
      </c>
      <c r="I338" s="34">
        <f>1.13/3</f>
        <v>0.3766666667</v>
      </c>
      <c r="J338" s="33">
        <v>0.4</v>
      </c>
      <c r="K338" s="13"/>
    </row>
    <row r="339">
      <c r="A339" s="13"/>
      <c r="B339" s="13"/>
      <c r="C339" s="13"/>
      <c r="D339" s="13"/>
      <c r="E339" s="30" t="s">
        <v>46</v>
      </c>
      <c r="F339" s="29">
        <f>(J339*I339)+(I340*J340)</f>
        <v>0.36</v>
      </c>
      <c r="G339" s="29">
        <v>0.55</v>
      </c>
      <c r="H339" s="31" t="s">
        <v>47</v>
      </c>
      <c r="I339" s="32">
        <f>((4+4+4)/3)/10</f>
        <v>0.4</v>
      </c>
      <c r="J339" s="33">
        <v>0.6</v>
      </c>
      <c r="K339" s="13"/>
    </row>
    <row r="340">
      <c r="A340" s="13"/>
      <c r="B340" s="15"/>
      <c r="C340" s="15"/>
      <c r="D340" s="15"/>
      <c r="E340" s="15"/>
      <c r="F340" s="15"/>
      <c r="G340" s="15"/>
      <c r="H340" s="31" t="s">
        <v>48</v>
      </c>
      <c r="I340" s="32">
        <v>0.3</v>
      </c>
      <c r="J340" s="33">
        <v>0.4</v>
      </c>
      <c r="K340" s="13"/>
    </row>
    <row r="341">
      <c r="A341" s="13"/>
      <c r="B341" s="35" t="s">
        <v>49</v>
      </c>
      <c r="C341" s="36">
        <f>(F341*G341)+(F345*G345)</f>
        <v>0.8738375</v>
      </c>
      <c r="D341" s="36">
        <v>0.2</v>
      </c>
      <c r="E341" s="37" t="s">
        <v>50</v>
      </c>
      <c r="F341" s="36">
        <f>(J341*I341)+(J342*I342)+(J343*I343)+(J344*I344)</f>
        <v>0.9005</v>
      </c>
      <c r="G341" s="36">
        <v>0.55</v>
      </c>
      <c r="H341" s="38" t="s">
        <v>51</v>
      </c>
      <c r="I341" s="39">
        <v>0.86</v>
      </c>
      <c r="J341" s="40">
        <v>0.35</v>
      </c>
      <c r="K341" s="13"/>
    </row>
    <row r="342">
      <c r="A342" s="13"/>
      <c r="B342" s="13"/>
      <c r="C342" s="13"/>
      <c r="D342" s="13"/>
      <c r="E342" s="13"/>
      <c r="F342" s="13"/>
      <c r="G342" s="13"/>
      <c r="H342" s="38" t="s">
        <v>52</v>
      </c>
      <c r="I342" s="41">
        <f>3.65/4</f>
        <v>0.9125</v>
      </c>
      <c r="J342" s="40">
        <v>0.35</v>
      </c>
      <c r="K342" s="13"/>
    </row>
    <row r="343">
      <c r="A343" s="13"/>
      <c r="B343" s="13"/>
      <c r="C343" s="13"/>
      <c r="D343" s="13"/>
      <c r="E343" s="13"/>
      <c r="F343" s="13"/>
      <c r="G343" s="13"/>
      <c r="H343" s="38" t="s">
        <v>53</v>
      </c>
      <c r="I343" s="41">
        <f>3.47/4</f>
        <v>0.8675</v>
      </c>
      <c r="J343" s="40">
        <v>0.15</v>
      </c>
      <c r="K343" s="13"/>
    </row>
    <row r="344">
      <c r="A344" s="13"/>
      <c r="B344" s="13"/>
      <c r="C344" s="13"/>
      <c r="D344" s="13"/>
      <c r="E344" s="15"/>
      <c r="F344" s="15"/>
      <c r="G344" s="15"/>
      <c r="H344" s="38" t="s">
        <v>54</v>
      </c>
      <c r="I344" s="39">
        <v>1.0</v>
      </c>
      <c r="J344" s="40">
        <v>0.15</v>
      </c>
      <c r="K344" s="13"/>
    </row>
    <row r="345">
      <c r="A345" s="13"/>
      <c r="B345" s="13"/>
      <c r="C345" s="13"/>
      <c r="D345" s="13"/>
      <c r="E345" s="35" t="s">
        <v>55</v>
      </c>
      <c r="F345" s="36">
        <f>(J345*I345)+(I346*J346)+(I347*J347)</f>
        <v>0.84125</v>
      </c>
      <c r="G345" s="36">
        <v>0.45</v>
      </c>
      <c r="H345" s="38" t="s">
        <v>56</v>
      </c>
      <c r="I345" s="41">
        <f>3.65/4</f>
        <v>0.9125</v>
      </c>
      <c r="J345" s="40">
        <v>0.3</v>
      </c>
      <c r="K345" s="13"/>
    </row>
    <row r="346">
      <c r="A346" s="13"/>
      <c r="B346" s="13"/>
      <c r="C346" s="13"/>
      <c r="D346" s="13"/>
      <c r="E346" s="13"/>
      <c r="F346" s="13"/>
      <c r="G346" s="13"/>
      <c r="H346" s="38" t="s">
        <v>57</v>
      </c>
      <c r="I346" s="41">
        <f>2.3/4</f>
        <v>0.575</v>
      </c>
      <c r="J346" s="40">
        <v>0.3</v>
      </c>
      <c r="K346" s="13"/>
    </row>
    <row r="347">
      <c r="A347" s="13"/>
      <c r="B347" s="15"/>
      <c r="C347" s="15"/>
      <c r="D347" s="15"/>
      <c r="E347" s="15"/>
      <c r="F347" s="15"/>
      <c r="G347" s="15"/>
      <c r="H347" s="38" t="s">
        <v>58</v>
      </c>
      <c r="I347" s="41">
        <f>3.95/4</f>
        <v>0.9875</v>
      </c>
      <c r="J347" s="40">
        <v>0.4</v>
      </c>
      <c r="K347" s="13"/>
    </row>
    <row r="348">
      <c r="A348" s="13"/>
      <c r="B348" s="42" t="s">
        <v>59</v>
      </c>
      <c r="C348" s="43">
        <f>(F348*G348)+(F350*G350)</f>
        <v>0.5504</v>
      </c>
      <c r="D348" s="43">
        <v>0.1</v>
      </c>
      <c r="E348" s="42" t="s">
        <v>60</v>
      </c>
      <c r="F348" s="43">
        <f>(J348*I348)+(I349*J349)</f>
        <v>0.6666666667</v>
      </c>
      <c r="G348" s="43">
        <v>0.6</v>
      </c>
      <c r="H348" s="44" t="s">
        <v>61</v>
      </c>
      <c r="I348" s="45">
        <v>1.0</v>
      </c>
      <c r="J348" s="46">
        <v>0.5</v>
      </c>
      <c r="K348" s="13"/>
    </row>
    <row r="349">
      <c r="A349" s="13"/>
      <c r="B349" s="13"/>
      <c r="C349" s="13"/>
      <c r="D349" s="13"/>
      <c r="E349" s="15"/>
      <c r="F349" s="15"/>
      <c r="G349" s="15"/>
      <c r="H349" s="44" t="s">
        <v>62</v>
      </c>
      <c r="I349" s="51">
        <f>1/3</f>
        <v>0.3333333333</v>
      </c>
      <c r="J349" s="46">
        <v>0.5</v>
      </c>
      <c r="K349" s="13"/>
    </row>
    <row r="350">
      <c r="A350" s="13"/>
      <c r="B350" s="13"/>
      <c r="C350" s="13"/>
      <c r="D350" s="13"/>
      <c r="E350" s="42" t="s">
        <v>63</v>
      </c>
      <c r="F350" s="43">
        <f>(J350*I350)+(I351*J351)</f>
        <v>0.376</v>
      </c>
      <c r="G350" s="43">
        <v>0.4</v>
      </c>
      <c r="H350" s="44" t="s">
        <v>64</v>
      </c>
      <c r="I350" s="45">
        <v>0.0</v>
      </c>
      <c r="J350" s="47">
        <v>0.6</v>
      </c>
      <c r="K350" s="13"/>
    </row>
    <row r="351">
      <c r="A351" s="15"/>
      <c r="B351" s="15"/>
      <c r="C351" s="15"/>
      <c r="D351" s="15"/>
      <c r="E351" s="15"/>
      <c r="F351" s="15"/>
      <c r="G351" s="15"/>
      <c r="H351" s="44" t="s">
        <v>65</v>
      </c>
      <c r="I351" s="45">
        <f>94/100</f>
        <v>0.94</v>
      </c>
      <c r="J351" s="47">
        <v>0.4</v>
      </c>
      <c r="K351" s="15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</row>
    <row r="354">
      <c r="A354" s="49" t="s">
        <v>77</v>
      </c>
      <c r="B354" s="6" t="s">
        <v>12</v>
      </c>
      <c r="C354" s="7">
        <f>(G354*F354)+(G358*F358)+(G360*F360)+(G363*F363)</f>
        <v>0.546429</v>
      </c>
      <c r="D354" s="7">
        <v>0.3</v>
      </c>
      <c r="E354" s="6" t="s">
        <v>13</v>
      </c>
      <c r="F354" s="7">
        <f>(J354*I354)+(J355*I355)+(J356*I356)+(J357*I357)</f>
        <v>0.78375</v>
      </c>
      <c r="G354" s="7">
        <v>0.3</v>
      </c>
      <c r="H354" s="8" t="s">
        <v>14</v>
      </c>
      <c r="I354" s="9">
        <v>0.74</v>
      </c>
      <c r="J354" s="10">
        <v>0.15</v>
      </c>
      <c r="K354" s="11">
        <f>(C354*D354)+(C365*D365)+(C376*D376)+(C380*D380)+(C387*D387)</f>
        <v>0.54518495</v>
      </c>
    </row>
    <row r="355">
      <c r="A355" s="13"/>
      <c r="B355" s="13"/>
      <c r="C355" s="13"/>
      <c r="D355" s="13"/>
      <c r="E355" s="13"/>
      <c r="F355" s="13"/>
      <c r="G355" s="13"/>
      <c r="H355" s="8" t="s">
        <v>15</v>
      </c>
      <c r="I355" s="9">
        <v>0.8</v>
      </c>
      <c r="J355" s="10">
        <v>0.5</v>
      </c>
      <c r="K355" s="13"/>
    </row>
    <row r="356">
      <c r="A356" s="13"/>
      <c r="B356" s="13"/>
      <c r="C356" s="13"/>
      <c r="D356" s="13"/>
      <c r="E356" s="13"/>
      <c r="F356" s="13"/>
      <c r="G356" s="13"/>
      <c r="H356" s="8" t="s">
        <v>16</v>
      </c>
      <c r="I356" s="14">
        <f>7.65/10</f>
        <v>0.765</v>
      </c>
      <c r="J356" s="10">
        <v>0.15</v>
      </c>
      <c r="K356" s="13"/>
    </row>
    <row r="357">
      <c r="A357" s="13"/>
      <c r="B357" s="13"/>
      <c r="C357" s="13"/>
      <c r="D357" s="13"/>
      <c r="E357" s="15"/>
      <c r="F357" s="15"/>
      <c r="G357" s="15"/>
      <c r="H357" s="8" t="s">
        <v>17</v>
      </c>
      <c r="I357" s="9">
        <v>0.79</v>
      </c>
      <c r="J357" s="10">
        <v>0.2</v>
      </c>
      <c r="K357" s="13"/>
    </row>
    <row r="358">
      <c r="A358" s="13"/>
      <c r="B358" s="13"/>
      <c r="C358" s="13"/>
      <c r="D358" s="13"/>
      <c r="E358" s="6" t="s">
        <v>18</v>
      </c>
      <c r="F358" s="7">
        <f>(J358*I358)+(I359*J359)</f>
        <v>0.20025</v>
      </c>
      <c r="G358" s="7">
        <v>0.25</v>
      </c>
      <c r="H358" s="55" t="s">
        <v>20</v>
      </c>
      <c r="I358" s="56">
        <f>2.67/4</f>
        <v>0.6675</v>
      </c>
      <c r="J358" s="7">
        <v>0.3</v>
      </c>
      <c r="K358" s="13"/>
    </row>
    <row r="359">
      <c r="A359" s="13"/>
      <c r="B359" s="13"/>
      <c r="C359" s="13"/>
      <c r="D359" s="13"/>
      <c r="E359" s="15"/>
      <c r="F359" s="15"/>
      <c r="G359" s="15"/>
      <c r="H359" s="15"/>
      <c r="I359" s="15"/>
      <c r="J359" s="15"/>
      <c r="K359" s="13"/>
    </row>
    <row r="360">
      <c r="A360" s="13"/>
      <c r="B360" s="13"/>
      <c r="C360" s="13"/>
      <c r="D360" s="13"/>
      <c r="E360" s="6" t="s">
        <v>21</v>
      </c>
      <c r="F360" s="7">
        <f>(J360*I360)+(I361*J361)+(I362*J362)</f>
        <v>0.576805</v>
      </c>
      <c r="G360" s="7">
        <v>0.3</v>
      </c>
      <c r="H360" s="8" t="s">
        <v>22</v>
      </c>
      <c r="I360" s="14">
        <f>40.23/100</f>
        <v>0.4023</v>
      </c>
      <c r="J360" s="10">
        <v>0.35</v>
      </c>
      <c r="K360" s="13"/>
    </row>
    <row r="361">
      <c r="A361" s="13"/>
      <c r="B361" s="13"/>
      <c r="C361" s="13"/>
      <c r="D361" s="13"/>
      <c r="E361" s="13"/>
      <c r="F361" s="13"/>
      <c r="G361" s="13"/>
      <c r="H361" s="8" t="s">
        <v>23</v>
      </c>
      <c r="I361" s="9">
        <f>38/100</f>
        <v>0.38</v>
      </c>
      <c r="J361" s="10">
        <v>0.3</v>
      </c>
      <c r="K361" s="13"/>
    </row>
    <row r="362">
      <c r="A362" s="13"/>
      <c r="B362" s="13"/>
      <c r="C362" s="13"/>
      <c r="D362" s="13"/>
      <c r="E362" s="15"/>
      <c r="F362" s="15"/>
      <c r="G362" s="15"/>
      <c r="H362" s="8" t="s">
        <v>24</v>
      </c>
      <c r="I362" s="9">
        <v>0.92</v>
      </c>
      <c r="J362" s="10">
        <v>0.35</v>
      </c>
      <c r="K362" s="13"/>
    </row>
    <row r="363">
      <c r="A363" s="13"/>
      <c r="B363" s="13"/>
      <c r="C363" s="13"/>
      <c r="D363" s="13"/>
      <c r="E363" s="6" t="s">
        <v>25</v>
      </c>
      <c r="F363" s="7">
        <f>(J363*I363)+(I364*J364)</f>
        <v>0.588</v>
      </c>
      <c r="G363" s="7">
        <v>0.15</v>
      </c>
      <c r="H363" s="8" t="s">
        <v>26</v>
      </c>
      <c r="I363" s="9">
        <v>0.39</v>
      </c>
      <c r="J363" s="10">
        <v>0.6</v>
      </c>
      <c r="K363" s="13"/>
    </row>
    <row r="364">
      <c r="A364" s="13"/>
      <c r="B364" s="15"/>
      <c r="C364" s="15"/>
      <c r="D364" s="15"/>
      <c r="E364" s="15"/>
      <c r="F364" s="15"/>
      <c r="G364" s="15"/>
      <c r="H364" s="16" t="s">
        <v>27</v>
      </c>
      <c r="I364" s="14">
        <f>3.54/4</f>
        <v>0.885</v>
      </c>
      <c r="J364" s="17">
        <v>0.4</v>
      </c>
      <c r="K364" s="13"/>
    </row>
    <row r="365">
      <c r="A365" s="13"/>
      <c r="B365" s="18" t="s">
        <v>28</v>
      </c>
      <c r="C365" s="19">
        <f>(G365*F365)+(F369*G369)+(F373*G373)</f>
        <v>0.610425</v>
      </c>
      <c r="D365" s="19">
        <v>0.2</v>
      </c>
      <c r="E365" s="20" t="s">
        <v>29</v>
      </c>
      <c r="F365" s="19">
        <f>(J365*I365)+(J366*I366)+(J367*I367)+(J368*I368)</f>
        <v>0.37225</v>
      </c>
      <c r="G365" s="19">
        <v>0.35</v>
      </c>
      <c r="H365" s="21" t="s">
        <v>30</v>
      </c>
      <c r="I365" s="22"/>
      <c r="J365" s="23">
        <v>0.3</v>
      </c>
      <c r="K365" s="13"/>
    </row>
    <row r="366">
      <c r="A366" s="13"/>
      <c r="B366" s="13"/>
      <c r="C366" s="13"/>
      <c r="D366" s="13"/>
      <c r="E366" s="13"/>
      <c r="F366" s="13"/>
      <c r="G366" s="13"/>
      <c r="H366" s="21" t="s">
        <v>31</v>
      </c>
      <c r="I366" s="24">
        <f>2.07/4</f>
        <v>0.5175</v>
      </c>
      <c r="J366" s="23">
        <v>0.2</v>
      </c>
      <c r="K366" s="13"/>
    </row>
    <row r="367">
      <c r="A367" s="13"/>
      <c r="B367" s="13"/>
      <c r="C367" s="13"/>
      <c r="D367" s="13"/>
      <c r="E367" s="13"/>
      <c r="F367" s="13"/>
      <c r="G367" s="13"/>
      <c r="H367" s="21" t="s">
        <v>32</v>
      </c>
      <c r="I367" s="24">
        <f>2.42/4</f>
        <v>0.605</v>
      </c>
      <c r="J367" s="23">
        <v>0.2</v>
      </c>
      <c r="K367" s="13"/>
    </row>
    <row r="368">
      <c r="A368" s="13"/>
      <c r="B368" s="13"/>
      <c r="C368" s="13"/>
      <c r="D368" s="13"/>
      <c r="E368" s="15"/>
      <c r="F368" s="15"/>
      <c r="G368" s="15"/>
      <c r="H368" s="21" t="s">
        <v>33</v>
      </c>
      <c r="I368" s="22">
        <f>1.97/4</f>
        <v>0.4925</v>
      </c>
      <c r="J368" s="23">
        <v>0.3</v>
      </c>
      <c r="K368" s="13"/>
    </row>
    <row r="369">
      <c r="A369" s="13"/>
      <c r="B369" s="13"/>
      <c r="C369" s="13"/>
      <c r="D369" s="13"/>
      <c r="E369" s="25" t="s">
        <v>34</v>
      </c>
      <c r="F369" s="19">
        <f>(J369*I369)+(J370*I370)+(J371*I371)</f>
        <v>0.793</v>
      </c>
      <c r="G369" s="19">
        <v>0.4</v>
      </c>
      <c r="H369" s="21" t="s">
        <v>78</v>
      </c>
      <c r="I369" s="22">
        <v>0.722</v>
      </c>
      <c r="J369" s="23">
        <v>0.5</v>
      </c>
      <c r="K369" s="13"/>
    </row>
    <row r="370">
      <c r="A370" s="13"/>
      <c r="B370" s="13"/>
      <c r="C370" s="13"/>
      <c r="D370" s="13"/>
      <c r="E370" s="13"/>
      <c r="F370" s="13"/>
      <c r="G370" s="13"/>
      <c r="H370" s="21" t="s">
        <v>36</v>
      </c>
      <c r="I370" s="22">
        <f>(100-15)/100</f>
        <v>0.85</v>
      </c>
      <c r="J370" s="23">
        <v>0.3</v>
      </c>
      <c r="K370" s="13"/>
    </row>
    <row r="371">
      <c r="A371" s="13"/>
      <c r="B371" s="13"/>
      <c r="C371" s="13"/>
      <c r="D371" s="13"/>
      <c r="E371" s="13"/>
      <c r="F371" s="13"/>
      <c r="G371" s="13"/>
      <c r="H371" s="26" t="s">
        <v>37</v>
      </c>
      <c r="I371" s="27">
        <f>3.54/4</f>
        <v>0.885</v>
      </c>
      <c r="J371" s="19">
        <v>0.2</v>
      </c>
      <c r="K371" s="13"/>
    </row>
    <row r="372">
      <c r="A372" s="13"/>
      <c r="B372" s="13"/>
      <c r="C372" s="13"/>
      <c r="D372" s="13"/>
      <c r="E372" s="15"/>
      <c r="F372" s="15"/>
      <c r="G372" s="15"/>
      <c r="H372" s="15"/>
      <c r="I372" s="15"/>
      <c r="J372" s="15"/>
      <c r="K372" s="13"/>
    </row>
    <row r="373">
      <c r="A373" s="13"/>
      <c r="B373" s="13"/>
      <c r="C373" s="13"/>
      <c r="D373" s="13"/>
      <c r="E373" s="25" t="s">
        <v>38</v>
      </c>
      <c r="F373" s="19">
        <f>(J373*I373)+(I374*J374)+(I375*J375)</f>
        <v>0.65175</v>
      </c>
      <c r="G373" s="19">
        <v>0.25</v>
      </c>
      <c r="H373" s="21" t="s">
        <v>39</v>
      </c>
      <c r="I373" s="24">
        <f>(100-39.2)/100</f>
        <v>0.608</v>
      </c>
      <c r="J373" s="23">
        <v>0.25</v>
      </c>
      <c r="K373" s="13"/>
    </row>
    <row r="374">
      <c r="A374" s="13"/>
      <c r="B374" s="13"/>
      <c r="C374" s="13"/>
      <c r="D374" s="13"/>
      <c r="E374" s="13"/>
      <c r="F374" s="13"/>
      <c r="G374" s="13"/>
      <c r="H374" s="21" t="s">
        <v>40</v>
      </c>
      <c r="I374" s="24">
        <f>2.35/4</f>
        <v>0.5875</v>
      </c>
      <c r="J374" s="23">
        <v>0.5</v>
      </c>
      <c r="K374" s="13"/>
    </row>
    <row r="375">
      <c r="A375" s="13"/>
      <c r="B375" s="15"/>
      <c r="C375" s="15"/>
      <c r="D375" s="15"/>
      <c r="E375" s="15"/>
      <c r="F375" s="15"/>
      <c r="G375" s="15"/>
      <c r="H375" s="21" t="s">
        <v>41</v>
      </c>
      <c r="I375" s="24">
        <f>(100-17.6)/100</f>
        <v>0.824</v>
      </c>
      <c r="J375" s="23">
        <v>0.25</v>
      </c>
      <c r="K375" s="13"/>
    </row>
    <row r="376">
      <c r="A376" s="13"/>
      <c r="B376" s="28" t="s">
        <v>42</v>
      </c>
      <c r="C376" s="29">
        <f>(G376*F376)+(F378*G378)</f>
        <v>0.3492</v>
      </c>
      <c r="D376" s="29">
        <v>0.2</v>
      </c>
      <c r="E376" s="30" t="s">
        <v>43</v>
      </c>
      <c r="F376" s="29">
        <f>(J376*I376)+(I377*J377)</f>
        <v>0.776</v>
      </c>
      <c r="G376" s="29">
        <v>0.45</v>
      </c>
      <c r="H376" s="31" t="s">
        <v>44</v>
      </c>
      <c r="I376" s="32">
        <v>0.78</v>
      </c>
      <c r="J376" s="33">
        <v>0.6</v>
      </c>
      <c r="K376" s="13"/>
    </row>
    <row r="377">
      <c r="A377" s="13"/>
      <c r="B377" s="13"/>
      <c r="C377" s="13"/>
      <c r="D377" s="13"/>
      <c r="E377" s="15"/>
      <c r="F377" s="15"/>
      <c r="G377" s="15"/>
      <c r="H377" s="31" t="s">
        <v>45</v>
      </c>
      <c r="I377" s="32">
        <f>2.31/3</f>
        <v>0.77</v>
      </c>
      <c r="J377" s="33">
        <v>0.4</v>
      </c>
      <c r="K377" s="13"/>
    </row>
    <row r="378">
      <c r="A378" s="13"/>
      <c r="B378" s="13"/>
      <c r="C378" s="13"/>
      <c r="D378" s="13"/>
      <c r="E378" s="30" t="s">
        <v>46</v>
      </c>
      <c r="F378" s="29">
        <f>(J378*I378)+(I379*J379)</f>
        <v>0</v>
      </c>
      <c r="G378" s="29">
        <v>0.55</v>
      </c>
      <c r="H378" s="31" t="s">
        <v>47</v>
      </c>
      <c r="I378" s="32"/>
      <c r="J378" s="33">
        <v>0.6</v>
      </c>
      <c r="K378" s="13"/>
    </row>
    <row r="379">
      <c r="A379" s="13"/>
      <c r="B379" s="15"/>
      <c r="C379" s="15"/>
      <c r="D379" s="15"/>
      <c r="E379" s="15"/>
      <c r="F379" s="15"/>
      <c r="G379" s="15"/>
      <c r="H379" s="31" t="s">
        <v>48</v>
      </c>
      <c r="I379" s="32">
        <v>0.0</v>
      </c>
      <c r="J379" s="33">
        <v>0.4</v>
      </c>
      <c r="K379" s="13"/>
    </row>
    <row r="380">
      <c r="A380" s="13"/>
      <c r="B380" s="35" t="s">
        <v>49</v>
      </c>
      <c r="C380" s="36">
        <f>(F380*G380)+(F384*G384)</f>
        <v>0.93705625</v>
      </c>
      <c r="D380" s="36">
        <v>0.2</v>
      </c>
      <c r="E380" s="37" t="s">
        <v>50</v>
      </c>
      <c r="F380" s="36">
        <f>(J380*I380)+(J381*I381)+(J382*I382)+(J383*I383)</f>
        <v>0.920125</v>
      </c>
      <c r="G380" s="36">
        <v>0.55</v>
      </c>
      <c r="H380" s="38" t="s">
        <v>51</v>
      </c>
      <c r="I380" s="39">
        <v>0.86</v>
      </c>
      <c r="J380" s="40">
        <v>0.35</v>
      </c>
      <c r="K380" s="13"/>
    </row>
    <row r="381">
      <c r="A381" s="13"/>
      <c r="B381" s="13"/>
      <c r="C381" s="13"/>
      <c r="D381" s="13"/>
      <c r="E381" s="13"/>
      <c r="F381" s="13"/>
      <c r="G381" s="13"/>
      <c r="H381" s="38" t="s">
        <v>52</v>
      </c>
      <c r="I381" s="41">
        <f>3.81/4</f>
        <v>0.9525</v>
      </c>
      <c r="J381" s="40">
        <v>0.35</v>
      </c>
      <c r="K381" s="13"/>
    </row>
    <row r="382">
      <c r="A382" s="13"/>
      <c r="B382" s="13"/>
      <c r="C382" s="13"/>
      <c r="D382" s="13"/>
      <c r="E382" s="13"/>
      <c r="F382" s="13"/>
      <c r="G382" s="13"/>
      <c r="H382" s="38" t="s">
        <v>53</v>
      </c>
      <c r="I382" s="41">
        <f>3.62/4</f>
        <v>0.905</v>
      </c>
      <c r="J382" s="40">
        <v>0.15</v>
      </c>
      <c r="K382" s="13"/>
    </row>
    <row r="383">
      <c r="A383" s="13"/>
      <c r="B383" s="13"/>
      <c r="C383" s="13"/>
      <c r="D383" s="13"/>
      <c r="E383" s="15"/>
      <c r="F383" s="15"/>
      <c r="G383" s="15"/>
      <c r="H383" s="38" t="s">
        <v>54</v>
      </c>
      <c r="I383" s="39">
        <v>1.0</v>
      </c>
      <c r="J383" s="40">
        <v>0.15</v>
      </c>
      <c r="K383" s="13"/>
    </row>
    <row r="384">
      <c r="A384" s="13"/>
      <c r="B384" s="13"/>
      <c r="C384" s="13"/>
      <c r="D384" s="13"/>
      <c r="E384" s="35" t="s">
        <v>55</v>
      </c>
      <c r="F384" s="36">
        <f>(J384*I384)+(I385*J385)+(I386*J386)</f>
        <v>0.95775</v>
      </c>
      <c r="G384" s="36">
        <v>0.45</v>
      </c>
      <c r="H384" s="38" t="s">
        <v>56</v>
      </c>
      <c r="I384" s="41">
        <f>3.86/4</f>
        <v>0.965</v>
      </c>
      <c r="J384" s="40">
        <v>0.3</v>
      </c>
      <c r="K384" s="13"/>
    </row>
    <row r="385">
      <c r="A385" s="13"/>
      <c r="B385" s="13"/>
      <c r="C385" s="13"/>
      <c r="D385" s="13"/>
      <c r="E385" s="13"/>
      <c r="F385" s="13"/>
      <c r="G385" s="13"/>
      <c r="H385" s="38" t="s">
        <v>57</v>
      </c>
      <c r="I385" s="41">
        <f>3.75/4</f>
        <v>0.9375</v>
      </c>
      <c r="J385" s="40">
        <v>0.3</v>
      </c>
      <c r="K385" s="13"/>
    </row>
    <row r="386">
      <c r="A386" s="13"/>
      <c r="B386" s="15"/>
      <c r="C386" s="15"/>
      <c r="D386" s="15"/>
      <c r="E386" s="15"/>
      <c r="F386" s="15"/>
      <c r="G386" s="15"/>
      <c r="H386" s="38" t="s">
        <v>58</v>
      </c>
      <c r="I386" s="41">
        <f>3.87/4</f>
        <v>0.9675</v>
      </c>
      <c r="J386" s="40">
        <v>0.4</v>
      </c>
      <c r="K386" s="13"/>
    </row>
    <row r="387">
      <c r="A387" s="13"/>
      <c r="B387" s="42" t="s">
        <v>59</v>
      </c>
      <c r="C387" s="43">
        <f>(F387*G387)+(F389*G389)</f>
        <v>0.0192</v>
      </c>
      <c r="D387" s="43">
        <v>0.1</v>
      </c>
      <c r="E387" s="42" t="s">
        <v>60</v>
      </c>
      <c r="F387" s="43">
        <f>(J387*I387)+(I388*J388)</f>
        <v>0</v>
      </c>
      <c r="G387" s="43">
        <v>0.6</v>
      </c>
      <c r="H387" s="44" t="s">
        <v>61</v>
      </c>
      <c r="I387" s="45">
        <v>0.0</v>
      </c>
      <c r="J387" s="46">
        <v>0.5</v>
      </c>
      <c r="K387" s="13"/>
    </row>
    <row r="388">
      <c r="A388" s="13"/>
      <c r="B388" s="13"/>
      <c r="C388" s="13"/>
      <c r="D388" s="13"/>
      <c r="E388" s="15"/>
      <c r="F388" s="15"/>
      <c r="G388" s="15"/>
      <c r="H388" s="44" t="s">
        <v>62</v>
      </c>
      <c r="I388" s="45">
        <v>0.0</v>
      </c>
      <c r="J388" s="46">
        <v>0.5</v>
      </c>
      <c r="K388" s="13"/>
    </row>
    <row r="389">
      <c r="A389" s="13"/>
      <c r="B389" s="13"/>
      <c r="C389" s="13"/>
      <c r="D389" s="13"/>
      <c r="E389" s="42" t="s">
        <v>63</v>
      </c>
      <c r="F389" s="43">
        <f>(J389*I389)+(I390*J390)</f>
        <v>0.048</v>
      </c>
      <c r="G389" s="43">
        <v>0.4</v>
      </c>
      <c r="H389" s="44" t="s">
        <v>64</v>
      </c>
      <c r="I389" s="45">
        <v>0.0</v>
      </c>
      <c r="J389" s="47">
        <v>0.6</v>
      </c>
      <c r="K389" s="13"/>
    </row>
    <row r="390">
      <c r="A390" s="15"/>
      <c r="B390" s="15"/>
      <c r="C390" s="15"/>
      <c r="D390" s="15"/>
      <c r="E390" s="15"/>
      <c r="F390" s="15"/>
      <c r="G390" s="15"/>
      <c r="H390" s="44" t="s">
        <v>65</v>
      </c>
      <c r="I390" s="45">
        <f>12/100</f>
        <v>0.12</v>
      </c>
      <c r="J390" s="47">
        <v>0.4</v>
      </c>
      <c r="K390" s="15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</row>
    <row r="393">
      <c r="A393" s="49" t="s">
        <v>79</v>
      </c>
      <c r="B393" s="6" t="s">
        <v>12</v>
      </c>
      <c r="C393" s="7">
        <f>(G393*F393)+(G397*F397)+(G399*F399)+(G402*F402)</f>
        <v>0.8626765</v>
      </c>
      <c r="D393" s="7">
        <v>0.3</v>
      </c>
      <c r="E393" s="6" t="s">
        <v>13</v>
      </c>
      <c r="F393" s="7">
        <f>(J393*I393)+(J394*I394)+(J395*I395)+(J396*I396)</f>
        <v>0.88565</v>
      </c>
      <c r="G393" s="7">
        <v>0.3</v>
      </c>
      <c r="H393" s="8" t="s">
        <v>14</v>
      </c>
      <c r="I393" s="9">
        <v>0.6</v>
      </c>
      <c r="J393" s="10">
        <v>0.15</v>
      </c>
      <c r="K393" s="11">
        <f>(C393*D393)+(C404*D404)+(C415*D415)+(C419*D419)+(C426*D426)</f>
        <v>0.8498267</v>
      </c>
    </row>
    <row r="394">
      <c r="A394" s="13"/>
      <c r="B394" s="13"/>
      <c r="C394" s="13"/>
      <c r="D394" s="13"/>
      <c r="E394" s="13"/>
      <c r="F394" s="13"/>
      <c r="G394" s="13"/>
      <c r="H394" s="8" t="s">
        <v>15</v>
      </c>
      <c r="I394" s="9">
        <v>0.94</v>
      </c>
      <c r="J394" s="10">
        <v>0.5</v>
      </c>
      <c r="K394" s="13"/>
    </row>
    <row r="395">
      <c r="A395" s="13"/>
      <c r="B395" s="13"/>
      <c r="C395" s="13"/>
      <c r="D395" s="13"/>
      <c r="E395" s="13"/>
      <c r="F395" s="13"/>
      <c r="G395" s="13"/>
      <c r="H395" s="8" t="s">
        <v>16</v>
      </c>
      <c r="I395" s="14">
        <f>9.71/10</f>
        <v>0.971</v>
      </c>
      <c r="J395" s="10">
        <v>0.15</v>
      </c>
      <c r="K395" s="13"/>
    </row>
    <row r="396">
      <c r="A396" s="13"/>
      <c r="B396" s="13"/>
      <c r="C396" s="13"/>
      <c r="D396" s="13"/>
      <c r="E396" s="15"/>
      <c r="F396" s="15"/>
      <c r="G396" s="15"/>
      <c r="H396" s="8" t="s">
        <v>17</v>
      </c>
      <c r="I396" s="9">
        <v>0.9</v>
      </c>
      <c r="J396" s="10">
        <v>0.2</v>
      </c>
      <c r="K396" s="13"/>
    </row>
    <row r="397">
      <c r="A397" s="13"/>
      <c r="B397" s="13"/>
      <c r="C397" s="13"/>
      <c r="D397" s="13"/>
      <c r="E397" s="6" t="s">
        <v>18</v>
      </c>
      <c r="F397" s="7">
        <f>(J397*I397)+(I398*J398)</f>
        <v>0.93925</v>
      </c>
      <c r="G397" s="7">
        <v>0.25</v>
      </c>
      <c r="H397" s="8" t="s">
        <v>19</v>
      </c>
      <c r="I397" s="9">
        <v>1.0</v>
      </c>
      <c r="J397" s="10">
        <v>0.7</v>
      </c>
      <c r="K397" s="13"/>
    </row>
    <row r="398">
      <c r="A398" s="13"/>
      <c r="B398" s="13"/>
      <c r="C398" s="13"/>
      <c r="D398" s="13"/>
      <c r="E398" s="15"/>
      <c r="F398" s="15"/>
      <c r="G398" s="15"/>
      <c r="H398" s="8" t="s">
        <v>20</v>
      </c>
      <c r="I398" s="14">
        <f>3.19/4</f>
        <v>0.7975</v>
      </c>
      <c r="J398" s="10">
        <v>0.3</v>
      </c>
      <c r="K398" s="13"/>
    </row>
    <row r="399">
      <c r="A399" s="13"/>
      <c r="B399" s="13"/>
      <c r="C399" s="13"/>
      <c r="D399" s="13"/>
      <c r="E399" s="6" t="s">
        <v>21</v>
      </c>
      <c r="F399" s="7">
        <f>(J399*I399)+(I400*J400)+(I401*J401)</f>
        <v>0.81673</v>
      </c>
      <c r="G399" s="7">
        <v>0.3</v>
      </c>
      <c r="H399" s="8" t="s">
        <v>22</v>
      </c>
      <c r="I399" s="14">
        <f>78.78/100</f>
        <v>0.7878</v>
      </c>
      <c r="J399" s="10">
        <v>0.35</v>
      </c>
      <c r="K399" s="13"/>
    </row>
    <row r="400">
      <c r="A400" s="13"/>
      <c r="B400" s="13"/>
      <c r="C400" s="13"/>
      <c r="D400" s="13"/>
      <c r="E400" s="13"/>
      <c r="F400" s="13"/>
      <c r="G400" s="13"/>
      <c r="H400" s="8" t="s">
        <v>23</v>
      </c>
      <c r="I400" s="9">
        <f>73/100</f>
        <v>0.73</v>
      </c>
      <c r="J400" s="10">
        <v>0.3</v>
      </c>
      <c r="K400" s="13"/>
    </row>
    <row r="401">
      <c r="A401" s="13"/>
      <c r="B401" s="13"/>
      <c r="C401" s="13"/>
      <c r="D401" s="13"/>
      <c r="E401" s="15"/>
      <c r="F401" s="15"/>
      <c r="G401" s="15"/>
      <c r="H401" s="8" t="s">
        <v>24</v>
      </c>
      <c r="I401" s="9">
        <v>0.92</v>
      </c>
      <c r="J401" s="10">
        <v>0.35</v>
      </c>
      <c r="K401" s="13"/>
    </row>
    <row r="402">
      <c r="A402" s="13"/>
      <c r="B402" s="13"/>
      <c r="C402" s="13"/>
      <c r="D402" s="13"/>
      <c r="E402" s="6" t="s">
        <v>25</v>
      </c>
      <c r="F402" s="7">
        <f>(J402*I402)+(I403*J403)</f>
        <v>0.781</v>
      </c>
      <c r="G402" s="7">
        <v>0.15</v>
      </c>
      <c r="H402" s="8" t="s">
        <v>26</v>
      </c>
      <c r="I402" s="9">
        <v>0.73</v>
      </c>
      <c r="J402" s="10">
        <v>0.6</v>
      </c>
      <c r="K402" s="13"/>
    </row>
    <row r="403">
      <c r="A403" s="13"/>
      <c r="B403" s="15"/>
      <c r="C403" s="15"/>
      <c r="D403" s="15"/>
      <c r="E403" s="15"/>
      <c r="F403" s="15"/>
      <c r="G403" s="15"/>
      <c r="H403" s="16" t="s">
        <v>27</v>
      </c>
      <c r="I403" s="14">
        <f>3.43/4</f>
        <v>0.8575</v>
      </c>
      <c r="J403" s="17">
        <v>0.4</v>
      </c>
      <c r="K403" s="13"/>
    </row>
    <row r="404">
      <c r="A404" s="13"/>
      <c r="B404" s="18" t="s">
        <v>28</v>
      </c>
      <c r="C404" s="19">
        <f>(G404*F404)+(F408*G408)+(F412*G412)</f>
        <v>0.8196125</v>
      </c>
      <c r="D404" s="19">
        <v>0.2</v>
      </c>
      <c r="E404" s="20" t="s">
        <v>29</v>
      </c>
      <c r="F404" s="19">
        <f>(J404*I404)+(J405*I405)+(J406*I406)+(J407*I407)</f>
        <v>0.81775</v>
      </c>
      <c r="G404" s="19">
        <v>0.35</v>
      </c>
      <c r="H404" s="21" t="s">
        <v>30</v>
      </c>
      <c r="I404" s="22">
        <f>9/10</f>
        <v>0.9</v>
      </c>
      <c r="J404" s="23">
        <v>0.3</v>
      </c>
      <c r="K404" s="13"/>
    </row>
    <row r="405">
      <c r="A405" s="13"/>
      <c r="B405" s="13"/>
      <c r="C405" s="13"/>
      <c r="D405" s="13"/>
      <c r="E405" s="13"/>
      <c r="F405" s="13"/>
      <c r="G405" s="13"/>
      <c r="H405" s="21" t="s">
        <v>31</v>
      </c>
      <c r="I405" s="24">
        <f>3.19/4</f>
        <v>0.7975</v>
      </c>
      <c r="J405" s="23">
        <v>0.2</v>
      </c>
      <c r="K405" s="13"/>
    </row>
    <row r="406">
      <c r="A406" s="13"/>
      <c r="B406" s="13"/>
      <c r="C406" s="13"/>
      <c r="D406" s="13"/>
      <c r="E406" s="13"/>
      <c r="F406" s="13"/>
      <c r="G406" s="13"/>
      <c r="H406" s="21" t="s">
        <v>32</v>
      </c>
      <c r="I406" s="24">
        <f>3.61/4</f>
        <v>0.9025</v>
      </c>
      <c r="J406" s="23">
        <v>0.2</v>
      </c>
      <c r="K406" s="13"/>
    </row>
    <row r="407">
      <c r="A407" s="13"/>
      <c r="B407" s="13"/>
      <c r="C407" s="13"/>
      <c r="D407" s="13"/>
      <c r="E407" s="15"/>
      <c r="F407" s="15"/>
      <c r="G407" s="15"/>
      <c r="H407" s="21" t="s">
        <v>33</v>
      </c>
      <c r="I407" s="22">
        <f>2.77/4</f>
        <v>0.6925</v>
      </c>
      <c r="J407" s="23">
        <v>0.3</v>
      </c>
      <c r="K407" s="13"/>
    </row>
    <row r="408">
      <c r="A408" s="13"/>
      <c r="B408" s="13"/>
      <c r="C408" s="13"/>
      <c r="D408" s="13"/>
      <c r="E408" s="25" t="s">
        <v>34</v>
      </c>
      <c r="F408" s="19">
        <f>(J408*I408)+(J409*I409)+(J410*I410)</f>
        <v>0.9035</v>
      </c>
      <c r="G408" s="19">
        <v>0.4</v>
      </c>
      <c r="H408" s="21" t="s">
        <v>35</v>
      </c>
      <c r="I408" s="22">
        <v>0.862</v>
      </c>
      <c r="J408" s="23">
        <v>0.5</v>
      </c>
      <c r="K408" s="13"/>
    </row>
    <row r="409">
      <c r="A409" s="13"/>
      <c r="B409" s="13"/>
      <c r="C409" s="13"/>
      <c r="D409" s="13"/>
      <c r="E409" s="13"/>
      <c r="F409" s="13"/>
      <c r="G409" s="13"/>
      <c r="H409" s="21" t="s">
        <v>36</v>
      </c>
      <c r="I409" s="22">
        <f>(100-6)/100</f>
        <v>0.94</v>
      </c>
      <c r="J409" s="23">
        <v>0.3</v>
      </c>
      <c r="K409" s="13"/>
    </row>
    <row r="410">
      <c r="A410" s="13"/>
      <c r="B410" s="13"/>
      <c r="C410" s="13"/>
      <c r="D410" s="13"/>
      <c r="E410" s="13"/>
      <c r="F410" s="13"/>
      <c r="G410" s="13"/>
      <c r="H410" s="26" t="s">
        <v>37</v>
      </c>
      <c r="I410" s="27">
        <f>3.81/4</f>
        <v>0.9525</v>
      </c>
      <c r="J410" s="19">
        <v>0.2</v>
      </c>
      <c r="K410" s="13"/>
    </row>
    <row r="411">
      <c r="A411" s="13"/>
      <c r="B411" s="13"/>
      <c r="C411" s="13"/>
      <c r="D411" s="13"/>
      <c r="E411" s="15"/>
      <c r="F411" s="15"/>
      <c r="G411" s="15"/>
      <c r="H411" s="15"/>
      <c r="I411" s="15"/>
      <c r="J411" s="15"/>
      <c r="K411" s="13"/>
    </row>
    <row r="412">
      <c r="A412" s="13"/>
      <c r="B412" s="13"/>
      <c r="C412" s="13"/>
      <c r="D412" s="13"/>
      <c r="E412" s="25" t="s">
        <v>38</v>
      </c>
      <c r="F412" s="19">
        <f>(J412*I412)+(I413*J413)+(I414*J414)</f>
        <v>0.688</v>
      </c>
      <c r="G412" s="19">
        <v>0.25</v>
      </c>
      <c r="H412" s="21" t="s">
        <v>39</v>
      </c>
      <c r="I412" s="22">
        <f>(100-40)/100</f>
        <v>0.6</v>
      </c>
      <c r="J412" s="23">
        <v>0.25</v>
      </c>
      <c r="K412" s="13"/>
    </row>
    <row r="413">
      <c r="A413" s="13"/>
      <c r="B413" s="13"/>
      <c r="C413" s="13"/>
      <c r="D413" s="13"/>
      <c r="E413" s="13"/>
      <c r="F413" s="13"/>
      <c r="G413" s="13"/>
      <c r="H413" s="21" t="s">
        <v>40</v>
      </c>
      <c r="I413" s="24">
        <f>2.65/4</f>
        <v>0.6625</v>
      </c>
      <c r="J413" s="23">
        <v>0.5</v>
      </c>
      <c r="K413" s="13"/>
    </row>
    <row r="414">
      <c r="A414" s="13"/>
      <c r="B414" s="15"/>
      <c r="C414" s="15"/>
      <c r="D414" s="15"/>
      <c r="E414" s="15"/>
      <c r="F414" s="15"/>
      <c r="G414" s="15"/>
      <c r="H414" s="21" t="s">
        <v>69</v>
      </c>
      <c r="I414" s="24">
        <f>(100-17.3)/100</f>
        <v>0.827</v>
      </c>
      <c r="J414" s="23">
        <v>0.25</v>
      </c>
      <c r="K414" s="13"/>
    </row>
    <row r="415">
      <c r="A415" s="13"/>
      <c r="B415" s="28" t="s">
        <v>42</v>
      </c>
      <c r="C415" s="29">
        <f>(G415*F415)+(F417*G417)</f>
        <v>0.9459</v>
      </c>
      <c r="D415" s="29">
        <v>0.2</v>
      </c>
      <c r="E415" s="30" t="s">
        <v>43</v>
      </c>
      <c r="F415" s="29">
        <f>(J415*I415)+(I416*J416)</f>
        <v>0.9286666667</v>
      </c>
      <c r="G415" s="29">
        <v>0.45</v>
      </c>
      <c r="H415" s="31" t="s">
        <v>44</v>
      </c>
      <c r="I415" s="32">
        <v>0.93</v>
      </c>
      <c r="J415" s="33">
        <v>0.6</v>
      </c>
      <c r="K415" s="13"/>
    </row>
    <row r="416">
      <c r="A416" s="13"/>
      <c r="B416" s="13"/>
      <c r="C416" s="13"/>
      <c r="D416" s="13"/>
      <c r="E416" s="15"/>
      <c r="F416" s="15"/>
      <c r="G416" s="15"/>
      <c r="H416" s="31" t="s">
        <v>45</v>
      </c>
      <c r="I416" s="34">
        <f>2.78/3</f>
        <v>0.9266666667</v>
      </c>
      <c r="J416" s="33">
        <v>0.4</v>
      </c>
      <c r="K416" s="13"/>
    </row>
    <row r="417">
      <c r="A417" s="13"/>
      <c r="B417" s="13"/>
      <c r="C417" s="13"/>
      <c r="D417" s="13"/>
      <c r="E417" s="30" t="s">
        <v>46</v>
      </c>
      <c r="F417" s="29">
        <f>(J417*I417)+(I418*J418)</f>
        <v>0.96</v>
      </c>
      <c r="G417" s="29">
        <v>0.55</v>
      </c>
      <c r="H417" s="31" t="s">
        <v>47</v>
      </c>
      <c r="I417" s="34">
        <f>((9+9+10)/3)/10</f>
        <v>0.9333333333</v>
      </c>
      <c r="J417" s="33">
        <v>0.6</v>
      </c>
      <c r="K417" s="13"/>
    </row>
    <row r="418">
      <c r="A418" s="13"/>
      <c r="B418" s="15"/>
      <c r="C418" s="15"/>
      <c r="D418" s="15"/>
      <c r="E418" s="15"/>
      <c r="F418" s="15"/>
      <c r="G418" s="15"/>
      <c r="H418" s="31" t="s">
        <v>48</v>
      </c>
      <c r="I418" s="32">
        <v>1.0</v>
      </c>
      <c r="J418" s="33">
        <v>0.4</v>
      </c>
      <c r="K418" s="13"/>
    </row>
    <row r="419">
      <c r="A419" s="13"/>
      <c r="B419" s="35" t="s">
        <v>49</v>
      </c>
      <c r="C419" s="36">
        <f>(F419*G419)+(F423*G423)</f>
        <v>0.96880625</v>
      </c>
      <c r="D419" s="36">
        <v>0.2</v>
      </c>
      <c r="E419" s="37" t="s">
        <v>50</v>
      </c>
      <c r="F419" s="36">
        <f>(J419*I419)+(J420*I420)+(J421*I421)+(J422*I422)</f>
        <v>0.967625</v>
      </c>
      <c r="G419" s="36">
        <v>0.55</v>
      </c>
      <c r="H419" s="38" t="s">
        <v>51</v>
      </c>
      <c r="I419" s="39">
        <v>0.95</v>
      </c>
      <c r="J419" s="40">
        <v>0.35</v>
      </c>
      <c r="K419" s="13"/>
    </row>
    <row r="420">
      <c r="A420" s="13"/>
      <c r="B420" s="13"/>
      <c r="C420" s="13"/>
      <c r="D420" s="13"/>
      <c r="E420" s="13"/>
      <c r="F420" s="13"/>
      <c r="G420" s="13"/>
      <c r="H420" s="38" t="s">
        <v>52</v>
      </c>
      <c r="I420" s="41">
        <f>3.86/4</f>
        <v>0.965</v>
      </c>
      <c r="J420" s="40">
        <v>0.35</v>
      </c>
      <c r="K420" s="13"/>
    </row>
    <row r="421">
      <c r="A421" s="13"/>
      <c r="B421" s="13"/>
      <c r="C421" s="13"/>
      <c r="D421" s="13"/>
      <c r="E421" s="13"/>
      <c r="F421" s="13"/>
      <c r="G421" s="13"/>
      <c r="H421" s="38" t="s">
        <v>53</v>
      </c>
      <c r="I421" s="41">
        <f>3.93/4</f>
        <v>0.9825</v>
      </c>
      <c r="J421" s="40">
        <v>0.15</v>
      </c>
      <c r="K421" s="13"/>
    </row>
    <row r="422">
      <c r="A422" s="13"/>
      <c r="B422" s="13"/>
      <c r="C422" s="13"/>
      <c r="D422" s="13"/>
      <c r="E422" s="15"/>
      <c r="F422" s="15"/>
      <c r="G422" s="15"/>
      <c r="H422" s="38" t="s">
        <v>54</v>
      </c>
      <c r="I422" s="39">
        <v>1.0</v>
      </c>
      <c r="J422" s="40">
        <v>0.15</v>
      </c>
      <c r="K422" s="13"/>
    </row>
    <row r="423">
      <c r="A423" s="13"/>
      <c r="B423" s="13"/>
      <c r="C423" s="13"/>
      <c r="D423" s="13"/>
      <c r="E423" s="35" t="s">
        <v>55</v>
      </c>
      <c r="F423" s="36">
        <f>(J423*I423)+(I424*J424)+(I425*J425)</f>
        <v>0.97025</v>
      </c>
      <c r="G423" s="36">
        <v>0.45</v>
      </c>
      <c r="H423" s="38" t="s">
        <v>56</v>
      </c>
      <c r="I423" s="41">
        <f>3.91/4</f>
        <v>0.9775</v>
      </c>
      <c r="J423" s="40">
        <v>0.3</v>
      </c>
      <c r="K423" s="13"/>
    </row>
    <row r="424">
      <c r="A424" s="13"/>
      <c r="B424" s="13"/>
      <c r="C424" s="13"/>
      <c r="D424" s="13"/>
      <c r="E424" s="13"/>
      <c r="F424" s="13"/>
      <c r="G424" s="13"/>
      <c r="H424" s="38" t="s">
        <v>57</v>
      </c>
      <c r="I424" s="39">
        <f>3.92/4</f>
        <v>0.98</v>
      </c>
      <c r="J424" s="40">
        <v>0.3</v>
      </c>
      <c r="K424" s="13"/>
    </row>
    <row r="425">
      <c r="A425" s="13"/>
      <c r="B425" s="15"/>
      <c r="C425" s="15"/>
      <c r="D425" s="15"/>
      <c r="E425" s="15"/>
      <c r="F425" s="15"/>
      <c r="G425" s="15"/>
      <c r="H425" s="38" t="s">
        <v>58</v>
      </c>
      <c r="I425" s="41">
        <f>3.83/4</f>
        <v>0.9575</v>
      </c>
      <c r="J425" s="40">
        <v>0.4</v>
      </c>
      <c r="K425" s="13"/>
    </row>
    <row r="426">
      <c r="A426" s="13"/>
      <c r="B426" s="42" t="s">
        <v>59</v>
      </c>
      <c r="C426" s="43">
        <f>(F426*G426)+(F428*G428)</f>
        <v>0.4416</v>
      </c>
      <c r="D426" s="43">
        <v>0.1</v>
      </c>
      <c r="E426" s="42" t="s">
        <v>60</v>
      </c>
      <c r="F426" s="43">
        <f>(J426*I426)+(I427*J427)</f>
        <v>0.6666666667</v>
      </c>
      <c r="G426" s="43">
        <v>0.6</v>
      </c>
      <c r="H426" s="44" t="s">
        <v>61</v>
      </c>
      <c r="I426" s="45">
        <v>1.0</v>
      </c>
      <c r="J426" s="46">
        <v>0.5</v>
      </c>
      <c r="K426" s="13"/>
    </row>
    <row r="427">
      <c r="A427" s="13"/>
      <c r="B427" s="13"/>
      <c r="C427" s="13"/>
      <c r="D427" s="13"/>
      <c r="E427" s="15"/>
      <c r="F427" s="15"/>
      <c r="G427" s="15"/>
      <c r="H427" s="44" t="s">
        <v>62</v>
      </c>
      <c r="I427" s="51">
        <f>1/3</f>
        <v>0.3333333333</v>
      </c>
      <c r="J427" s="46">
        <v>0.5</v>
      </c>
      <c r="K427" s="13"/>
    </row>
    <row r="428">
      <c r="A428" s="13"/>
      <c r="B428" s="13"/>
      <c r="C428" s="13"/>
      <c r="D428" s="13"/>
      <c r="E428" s="42" t="s">
        <v>63</v>
      </c>
      <c r="F428" s="43">
        <f>(J428*I428)+(I429*J429)</f>
        <v>0.104</v>
      </c>
      <c r="G428" s="43">
        <v>0.4</v>
      </c>
      <c r="H428" s="44" t="s">
        <v>64</v>
      </c>
      <c r="I428" s="45">
        <v>0.0</v>
      </c>
      <c r="J428" s="47">
        <v>0.6</v>
      </c>
      <c r="K428" s="13"/>
    </row>
    <row r="429">
      <c r="A429" s="15"/>
      <c r="B429" s="15"/>
      <c r="C429" s="15"/>
      <c r="D429" s="15"/>
      <c r="E429" s="15"/>
      <c r="F429" s="15"/>
      <c r="G429" s="15"/>
      <c r="H429" s="44" t="s">
        <v>65</v>
      </c>
      <c r="I429" s="45">
        <f>26/100</f>
        <v>0.26</v>
      </c>
      <c r="J429" s="47">
        <v>0.4</v>
      </c>
      <c r="K429" s="15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</row>
    <row r="432">
      <c r="A432" s="49" t="s">
        <v>80</v>
      </c>
      <c r="B432" s="6" t="s">
        <v>12</v>
      </c>
      <c r="C432" s="7">
        <f>(G432*F432)+(G436*F436)+(G438*F438)+(G441*F441)</f>
        <v>0.1371365</v>
      </c>
      <c r="D432" s="7">
        <v>0.3</v>
      </c>
      <c r="E432" s="6" t="s">
        <v>13</v>
      </c>
      <c r="F432" s="7">
        <f>(J432*I432)+(J433*I433)+(J434*I434)+(J435*I435)</f>
        <v>0.08325</v>
      </c>
      <c r="G432" s="7">
        <v>0.3</v>
      </c>
      <c r="H432" s="8" t="s">
        <v>14</v>
      </c>
      <c r="I432" s="9">
        <v>0.18</v>
      </c>
      <c r="J432" s="10">
        <v>0.15</v>
      </c>
      <c r="K432" s="11">
        <f>(C432*D432)+(C443*D443)+(C454*D454)+(C458*D458)+(C465*D465)</f>
        <v>0.21042595</v>
      </c>
    </row>
    <row r="433">
      <c r="A433" s="13"/>
      <c r="B433" s="13"/>
      <c r="C433" s="13"/>
      <c r="D433" s="13"/>
      <c r="E433" s="13"/>
      <c r="F433" s="13"/>
      <c r="G433" s="13"/>
      <c r="H433" s="8" t="s">
        <v>15</v>
      </c>
      <c r="I433" s="9">
        <v>0.01</v>
      </c>
      <c r="J433" s="10">
        <v>0.5</v>
      </c>
      <c r="K433" s="13"/>
    </row>
    <row r="434">
      <c r="A434" s="13"/>
      <c r="B434" s="13"/>
      <c r="C434" s="13"/>
      <c r="D434" s="13"/>
      <c r="E434" s="13"/>
      <c r="F434" s="13"/>
      <c r="G434" s="13"/>
      <c r="H434" s="8" t="s">
        <v>16</v>
      </c>
      <c r="I434" s="9">
        <f>2.35/10</f>
        <v>0.235</v>
      </c>
      <c r="J434" s="10">
        <v>0.15</v>
      </c>
      <c r="K434" s="13"/>
    </row>
    <row r="435">
      <c r="A435" s="13"/>
      <c r="B435" s="13"/>
      <c r="C435" s="13"/>
      <c r="D435" s="13"/>
      <c r="E435" s="15"/>
      <c r="F435" s="15"/>
      <c r="G435" s="15"/>
      <c r="H435" s="8" t="s">
        <v>17</v>
      </c>
      <c r="I435" s="9">
        <v>0.08</v>
      </c>
      <c r="J435" s="10">
        <v>0.2</v>
      </c>
      <c r="K435" s="13"/>
    </row>
    <row r="436">
      <c r="A436" s="13"/>
      <c r="B436" s="13"/>
      <c r="C436" s="13"/>
      <c r="D436" s="13"/>
      <c r="E436" s="6" t="s">
        <v>18</v>
      </c>
      <c r="F436" s="7">
        <f>(J436*I436)+(I437*J437)</f>
        <v>0.1595</v>
      </c>
      <c r="G436" s="7">
        <v>0.25</v>
      </c>
      <c r="H436" s="8" t="s">
        <v>19</v>
      </c>
      <c r="I436" s="9">
        <v>0.2</v>
      </c>
      <c r="J436" s="10">
        <v>0.7</v>
      </c>
      <c r="K436" s="13"/>
    </row>
    <row r="437">
      <c r="A437" s="13"/>
      <c r="B437" s="13"/>
      <c r="C437" s="13"/>
      <c r="D437" s="13"/>
      <c r="E437" s="15"/>
      <c r="F437" s="15"/>
      <c r="G437" s="15"/>
      <c r="H437" s="8" t="s">
        <v>20</v>
      </c>
      <c r="I437" s="9">
        <f>0.26/4</f>
        <v>0.065</v>
      </c>
      <c r="J437" s="10">
        <v>0.3</v>
      </c>
      <c r="K437" s="13"/>
    </row>
    <row r="438">
      <c r="A438" s="13"/>
      <c r="B438" s="13"/>
      <c r="C438" s="13"/>
      <c r="D438" s="13"/>
      <c r="E438" s="6" t="s">
        <v>21</v>
      </c>
      <c r="F438" s="7">
        <f>(J438*I438)+(I439*J439)+(I440*J440)</f>
        <v>0.151555</v>
      </c>
      <c r="G438" s="7">
        <v>0.3</v>
      </c>
      <c r="H438" s="8" t="s">
        <v>22</v>
      </c>
      <c r="I438" s="14">
        <f>15.73/100</f>
        <v>0.1573</v>
      </c>
      <c r="J438" s="10">
        <v>0.35</v>
      </c>
      <c r="K438" s="13"/>
    </row>
    <row r="439">
      <c r="A439" s="13"/>
      <c r="B439" s="13"/>
      <c r="C439" s="13"/>
      <c r="D439" s="13"/>
      <c r="E439" s="13"/>
      <c r="F439" s="13"/>
      <c r="G439" s="13"/>
      <c r="H439" s="8" t="s">
        <v>23</v>
      </c>
      <c r="I439" s="9">
        <f>10/100</f>
        <v>0.1</v>
      </c>
      <c r="J439" s="10">
        <v>0.3</v>
      </c>
      <c r="K439" s="13"/>
    </row>
    <row r="440">
      <c r="A440" s="13"/>
      <c r="B440" s="13"/>
      <c r="C440" s="13"/>
      <c r="D440" s="13"/>
      <c r="E440" s="15"/>
      <c r="F440" s="15"/>
      <c r="G440" s="15"/>
      <c r="H440" s="8" t="s">
        <v>24</v>
      </c>
      <c r="I440" s="9">
        <v>0.19</v>
      </c>
      <c r="J440" s="10">
        <v>0.35</v>
      </c>
      <c r="K440" s="13"/>
    </row>
    <row r="441">
      <c r="A441" s="13"/>
      <c r="B441" s="13"/>
      <c r="C441" s="13"/>
      <c r="D441" s="13"/>
      <c r="E441" s="6" t="s">
        <v>25</v>
      </c>
      <c r="F441" s="7">
        <f>(J441*I441)+(I442*J442)</f>
        <v>0.1788</v>
      </c>
      <c r="G441" s="7">
        <v>0.15</v>
      </c>
      <c r="H441" s="8" t="s">
        <v>26</v>
      </c>
      <c r="I441" s="9">
        <v>0.27</v>
      </c>
      <c r="J441" s="10">
        <v>0.6</v>
      </c>
      <c r="K441" s="13"/>
    </row>
    <row r="442">
      <c r="A442" s="13"/>
      <c r="B442" s="15"/>
      <c r="C442" s="15"/>
      <c r="D442" s="15"/>
      <c r="E442" s="15"/>
      <c r="F442" s="15"/>
      <c r="G442" s="15"/>
      <c r="H442" s="16" t="s">
        <v>27</v>
      </c>
      <c r="I442" s="57">
        <f>0.21/5</f>
        <v>0.042</v>
      </c>
      <c r="J442" s="17">
        <v>0.4</v>
      </c>
      <c r="K442" s="13"/>
    </row>
    <row r="443">
      <c r="A443" s="13"/>
      <c r="B443" s="18" t="s">
        <v>28</v>
      </c>
      <c r="C443" s="19">
        <f>(G443*F443)+(F447*G447)+(F451*G451)</f>
        <v>0.436575</v>
      </c>
      <c r="D443" s="19">
        <v>0.2</v>
      </c>
      <c r="E443" s="20" t="s">
        <v>29</v>
      </c>
      <c r="F443" s="19">
        <f>(J443*I443)+(J444*I444)+(J445*I445)+(J446*I446)</f>
        <v>0.1355</v>
      </c>
      <c r="G443" s="19">
        <v>0.35</v>
      </c>
      <c r="H443" s="21" t="s">
        <v>30</v>
      </c>
      <c r="I443" s="22">
        <f>3/10</f>
        <v>0.3</v>
      </c>
      <c r="J443" s="23">
        <v>0.3</v>
      </c>
      <c r="K443" s="13"/>
    </row>
    <row r="444">
      <c r="A444" s="13"/>
      <c r="B444" s="13"/>
      <c r="C444" s="13"/>
      <c r="D444" s="13"/>
      <c r="E444" s="13"/>
      <c r="F444" s="13"/>
      <c r="G444" s="13"/>
      <c r="H444" s="21" t="s">
        <v>31</v>
      </c>
      <c r="I444" s="24">
        <f>0.42/4</f>
        <v>0.105</v>
      </c>
      <c r="J444" s="23">
        <v>0.2</v>
      </c>
      <c r="K444" s="13"/>
    </row>
    <row r="445">
      <c r="A445" s="13"/>
      <c r="B445" s="13"/>
      <c r="C445" s="13"/>
      <c r="D445" s="13"/>
      <c r="E445" s="13"/>
      <c r="F445" s="13"/>
      <c r="G445" s="13"/>
      <c r="H445" s="21" t="s">
        <v>32</v>
      </c>
      <c r="I445" s="58">
        <f>0.19/4</f>
        <v>0.0475</v>
      </c>
      <c r="J445" s="23">
        <v>0.2</v>
      </c>
      <c r="K445" s="13"/>
    </row>
    <row r="446">
      <c r="A446" s="13"/>
      <c r="B446" s="13"/>
      <c r="C446" s="13"/>
      <c r="D446" s="13"/>
      <c r="E446" s="15"/>
      <c r="F446" s="15"/>
      <c r="G446" s="15"/>
      <c r="H446" s="21" t="s">
        <v>67</v>
      </c>
      <c r="I446" s="22">
        <f>0.2/4</f>
        <v>0.05</v>
      </c>
      <c r="J446" s="23">
        <v>0.3</v>
      </c>
      <c r="K446" s="13"/>
    </row>
    <row r="447">
      <c r="A447" s="13"/>
      <c r="B447" s="13"/>
      <c r="C447" s="13"/>
      <c r="D447" s="13"/>
      <c r="E447" s="25" t="s">
        <v>34</v>
      </c>
      <c r="F447" s="19">
        <f>(J447*I447)+(J448*I448)+(J449*I449)</f>
        <v>0.646</v>
      </c>
      <c r="G447" s="19">
        <v>0.4</v>
      </c>
      <c r="H447" s="21" t="s">
        <v>35</v>
      </c>
      <c r="I447" s="22">
        <v>0.709</v>
      </c>
      <c r="J447" s="23">
        <v>0.5</v>
      </c>
      <c r="K447" s="13"/>
    </row>
    <row r="448">
      <c r="A448" s="13"/>
      <c r="B448" s="13"/>
      <c r="C448" s="13"/>
      <c r="D448" s="13"/>
      <c r="E448" s="13"/>
      <c r="F448" s="13"/>
      <c r="G448" s="13"/>
      <c r="H448" s="21" t="s">
        <v>36</v>
      </c>
      <c r="I448" s="22">
        <f>(100-21)/100</f>
        <v>0.79</v>
      </c>
      <c r="J448" s="23">
        <v>0.3</v>
      </c>
      <c r="K448" s="13"/>
    </row>
    <row r="449">
      <c r="A449" s="13"/>
      <c r="B449" s="13"/>
      <c r="C449" s="13"/>
      <c r="D449" s="13"/>
      <c r="E449" s="13"/>
      <c r="F449" s="13"/>
      <c r="G449" s="13"/>
      <c r="H449" s="26" t="s">
        <v>37</v>
      </c>
      <c r="I449" s="27">
        <f>1.09/4</f>
        <v>0.2725</v>
      </c>
      <c r="J449" s="19">
        <v>0.2</v>
      </c>
      <c r="K449" s="13"/>
    </row>
    <row r="450">
      <c r="A450" s="13"/>
      <c r="B450" s="13"/>
      <c r="C450" s="13"/>
      <c r="D450" s="13"/>
      <c r="E450" s="15"/>
      <c r="F450" s="15"/>
      <c r="G450" s="15"/>
      <c r="H450" s="15"/>
      <c r="I450" s="15"/>
      <c r="J450" s="15"/>
      <c r="K450" s="13"/>
    </row>
    <row r="451">
      <c r="A451" s="13"/>
      <c r="B451" s="13"/>
      <c r="C451" s="13"/>
      <c r="D451" s="13"/>
      <c r="E451" s="25" t="s">
        <v>38</v>
      </c>
      <c r="F451" s="19">
        <f>(J451*I451)+(I452*J452)+(I453*J453)</f>
        <v>0.523</v>
      </c>
      <c r="G451" s="19">
        <v>0.25</v>
      </c>
      <c r="H451" s="21" t="s">
        <v>39</v>
      </c>
      <c r="I451" s="24">
        <f>(100-44.7)/100</f>
        <v>0.553</v>
      </c>
      <c r="J451" s="23">
        <v>0.25</v>
      </c>
      <c r="K451" s="13"/>
    </row>
    <row r="452">
      <c r="A452" s="13"/>
      <c r="B452" s="13"/>
      <c r="C452" s="13"/>
      <c r="D452" s="13"/>
      <c r="E452" s="13"/>
      <c r="F452" s="13"/>
      <c r="G452" s="13"/>
      <c r="H452" s="21" t="s">
        <v>40</v>
      </c>
      <c r="I452" s="24">
        <f>1.74/4</f>
        <v>0.435</v>
      </c>
      <c r="J452" s="23">
        <v>0.5</v>
      </c>
      <c r="K452" s="13"/>
    </row>
    <row r="453">
      <c r="A453" s="13"/>
      <c r="B453" s="15"/>
      <c r="C453" s="15"/>
      <c r="D453" s="15"/>
      <c r="E453" s="15"/>
      <c r="F453" s="15"/>
      <c r="G453" s="15"/>
      <c r="H453" s="21" t="s">
        <v>69</v>
      </c>
      <c r="I453" s="24">
        <f>(100-33.1)/100</f>
        <v>0.669</v>
      </c>
      <c r="J453" s="23">
        <v>0.25</v>
      </c>
      <c r="K453" s="13"/>
    </row>
    <row r="454">
      <c r="A454" s="13"/>
      <c r="B454" s="28" t="s">
        <v>42</v>
      </c>
      <c r="C454" s="29">
        <f>(G454*F454)+(F456*G456)</f>
        <v>0.067</v>
      </c>
      <c r="D454" s="29">
        <v>0.2</v>
      </c>
      <c r="E454" s="30" t="s">
        <v>43</v>
      </c>
      <c r="F454" s="29">
        <f>(J454*I454)+(I455*J455)</f>
        <v>0.02666666667</v>
      </c>
      <c r="G454" s="29">
        <v>0.45</v>
      </c>
      <c r="H454" s="31" t="s">
        <v>44</v>
      </c>
      <c r="I454" s="32">
        <v>0.02</v>
      </c>
      <c r="J454" s="33">
        <v>0.6</v>
      </c>
      <c r="K454" s="13"/>
    </row>
    <row r="455">
      <c r="A455" s="13"/>
      <c r="B455" s="13"/>
      <c r="C455" s="13"/>
      <c r="D455" s="13"/>
      <c r="E455" s="15"/>
      <c r="F455" s="15"/>
      <c r="G455" s="15"/>
      <c r="H455" s="31" t="s">
        <v>45</v>
      </c>
      <c r="I455" s="59">
        <f>0.11/3</f>
        <v>0.03666666667</v>
      </c>
      <c r="J455" s="33">
        <v>0.4</v>
      </c>
      <c r="K455" s="13"/>
    </row>
    <row r="456">
      <c r="A456" s="13"/>
      <c r="B456" s="13"/>
      <c r="C456" s="13"/>
      <c r="D456" s="13"/>
      <c r="E456" s="30" t="s">
        <v>46</v>
      </c>
      <c r="F456" s="29">
        <f>(J456*I456)+(I457*J457)</f>
        <v>0.1</v>
      </c>
      <c r="G456" s="29">
        <v>0.55</v>
      </c>
      <c r="H456" s="31" t="s">
        <v>47</v>
      </c>
      <c r="I456" s="34">
        <f>((1+2+2)/3)/10</f>
        <v>0.1666666667</v>
      </c>
      <c r="J456" s="33">
        <v>0.6</v>
      </c>
      <c r="K456" s="13"/>
    </row>
    <row r="457">
      <c r="A457" s="13"/>
      <c r="B457" s="15"/>
      <c r="C457" s="15"/>
      <c r="D457" s="15"/>
      <c r="E457" s="15"/>
      <c r="F457" s="15"/>
      <c r="G457" s="15"/>
      <c r="H457" s="31" t="s">
        <v>48</v>
      </c>
      <c r="I457" s="32">
        <v>0.0</v>
      </c>
      <c r="J457" s="33">
        <v>0.4</v>
      </c>
      <c r="K457" s="13"/>
    </row>
    <row r="458">
      <c r="A458" s="13"/>
      <c r="B458" s="35" t="s">
        <v>49</v>
      </c>
      <c r="C458" s="36">
        <f>(F458*G458)+(F462*G462)</f>
        <v>0.29885</v>
      </c>
      <c r="D458" s="36">
        <v>0.2</v>
      </c>
      <c r="E458" s="37" t="s">
        <v>50</v>
      </c>
      <c r="F458" s="36">
        <f>(J458*I458)+(J459*I459)+(J460*I460)+(J461*I461)</f>
        <v>0.28175</v>
      </c>
      <c r="G458" s="36">
        <v>0.55</v>
      </c>
      <c r="H458" s="38" t="s">
        <v>51</v>
      </c>
      <c r="I458" s="39">
        <v>0.05</v>
      </c>
      <c r="J458" s="40">
        <v>0.35</v>
      </c>
      <c r="K458" s="13"/>
    </row>
    <row r="459">
      <c r="A459" s="13"/>
      <c r="B459" s="13"/>
      <c r="C459" s="13"/>
      <c r="D459" s="13"/>
      <c r="E459" s="13"/>
      <c r="F459" s="13"/>
      <c r="G459" s="13"/>
      <c r="H459" s="38" t="s">
        <v>52</v>
      </c>
      <c r="I459" s="60">
        <f>0.29/4</f>
        <v>0.0725</v>
      </c>
      <c r="J459" s="40">
        <v>0.35</v>
      </c>
      <c r="K459" s="13"/>
    </row>
    <row r="460">
      <c r="A460" s="13"/>
      <c r="B460" s="13"/>
      <c r="C460" s="13"/>
      <c r="D460" s="13"/>
      <c r="E460" s="13"/>
      <c r="F460" s="13"/>
      <c r="G460" s="13"/>
      <c r="H460" s="38" t="s">
        <v>53</v>
      </c>
      <c r="I460" s="41">
        <f>2.37/4</f>
        <v>0.5925</v>
      </c>
      <c r="J460" s="40">
        <v>0.15</v>
      </c>
      <c r="K460" s="13"/>
    </row>
    <row r="461">
      <c r="A461" s="13"/>
      <c r="B461" s="13"/>
      <c r="C461" s="13"/>
      <c r="D461" s="13"/>
      <c r="E461" s="15"/>
      <c r="F461" s="15"/>
      <c r="G461" s="15"/>
      <c r="H461" s="38" t="s">
        <v>54</v>
      </c>
      <c r="I461" s="39">
        <v>1.0</v>
      </c>
      <c r="J461" s="40">
        <v>0.15</v>
      </c>
      <c r="K461" s="13"/>
    </row>
    <row r="462">
      <c r="A462" s="13"/>
      <c r="B462" s="13"/>
      <c r="C462" s="13"/>
      <c r="D462" s="13"/>
      <c r="E462" s="35" t="s">
        <v>55</v>
      </c>
      <c r="F462" s="36">
        <f>(J462*I462)+(I463*J463)+(I464*J464)</f>
        <v>0.31975</v>
      </c>
      <c r="G462" s="36">
        <v>0.45</v>
      </c>
      <c r="H462" s="38" t="s">
        <v>56</v>
      </c>
      <c r="I462" s="39">
        <f>1.72/4</f>
        <v>0.43</v>
      </c>
      <c r="J462" s="40">
        <v>0.3</v>
      </c>
      <c r="K462" s="13"/>
    </row>
    <row r="463">
      <c r="A463" s="13"/>
      <c r="B463" s="13"/>
      <c r="C463" s="13"/>
      <c r="D463" s="13"/>
      <c r="E463" s="13"/>
      <c r="F463" s="13"/>
      <c r="G463" s="13"/>
      <c r="H463" s="38" t="s">
        <v>57</v>
      </c>
      <c r="I463" s="41">
        <f>1.33/4</f>
        <v>0.3325</v>
      </c>
      <c r="J463" s="40">
        <v>0.3</v>
      </c>
      <c r="K463" s="13"/>
    </row>
    <row r="464">
      <c r="A464" s="13"/>
      <c r="B464" s="15"/>
      <c r="C464" s="15"/>
      <c r="D464" s="15"/>
      <c r="E464" s="15"/>
      <c r="F464" s="15"/>
      <c r="G464" s="15"/>
      <c r="H464" s="38" t="s">
        <v>58</v>
      </c>
      <c r="I464" s="41">
        <f>0.91/4</f>
        <v>0.2275</v>
      </c>
      <c r="J464" s="40">
        <v>0.4</v>
      </c>
      <c r="K464" s="13"/>
    </row>
    <row r="465">
      <c r="A465" s="13"/>
      <c r="B465" s="42" t="s">
        <v>59</v>
      </c>
      <c r="C465" s="43">
        <f>(F465*G465)+(F467*G467)</f>
        <v>0.088</v>
      </c>
      <c r="D465" s="43">
        <v>0.1</v>
      </c>
      <c r="E465" s="42" t="s">
        <v>60</v>
      </c>
      <c r="F465" s="43">
        <f>(J465*I465)+(I466*J466)</f>
        <v>0</v>
      </c>
      <c r="G465" s="43">
        <v>0.6</v>
      </c>
      <c r="H465" s="44" t="s">
        <v>61</v>
      </c>
      <c r="I465" s="45">
        <v>0.0</v>
      </c>
      <c r="J465" s="46">
        <v>0.5</v>
      </c>
      <c r="K465" s="13"/>
    </row>
    <row r="466">
      <c r="A466" s="13"/>
      <c r="B466" s="13"/>
      <c r="C466" s="13"/>
      <c r="D466" s="13"/>
      <c r="E466" s="15"/>
      <c r="F466" s="15"/>
      <c r="G466" s="15"/>
      <c r="H466" s="44" t="s">
        <v>62</v>
      </c>
      <c r="I466" s="45">
        <v>0.0</v>
      </c>
      <c r="J466" s="46">
        <v>0.5</v>
      </c>
      <c r="K466" s="13"/>
    </row>
    <row r="467">
      <c r="A467" s="13"/>
      <c r="B467" s="13"/>
      <c r="C467" s="13"/>
      <c r="D467" s="13"/>
      <c r="E467" s="42" t="s">
        <v>63</v>
      </c>
      <c r="F467" s="43">
        <f>(J467*I467)+(I468*J468)</f>
        <v>0.22</v>
      </c>
      <c r="G467" s="43">
        <v>0.4</v>
      </c>
      <c r="H467" s="44" t="s">
        <v>64</v>
      </c>
      <c r="I467" s="45">
        <v>0.0</v>
      </c>
      <c r="J467" s="47">
        <v>0.6</v>
      </c>
      <c r="K467" s="13"/>
    </row>
    <row r="468">
      <c r="A468" s="15"/>
      <c r="B468" s="15"/>
      <c r="C468" s="15"/>
      <c r="D468" s="15"/>
      <c r="E468" s="15"/>
      <c r="F468" s="15"/>
      <c r="G468" s="15"/>
      <c r="H468" s="44" t="s">
        <v>65</v>
      </c>
      <c r="I468" s="45">
        <f>55/100</f>
        <v>0.55</v>
      </c>
      <c r="J468" s="47">
        <v>0.4</v>
      </c>
      <c r="K468" s="15"/>
    </row>
    <row r="469">
      <c r="A469" s="52"/>
      <c r="H469" s="61"/>
    </row>
    <row r="470">
      <c r="A470" s="52"/>
      <c r="H470" s="61"/>
    </row>
    <row r="471">
      <c r="A471" s="52"/>
      <c r="H471" s="61"/>
    </row>
    <row r="472">
      <c r="A472" s="52"/>
      <c r="H472" s="61"/>
    </row>
    <row r="473">
      <c r="A473" s="52"/>
      <c r="H473" s="61"/>
    </row>
    <row r="474">
      <c r="A474" s="52"/>
      <c r="H474" s="61"/>
    </row>
    <row r="475">
      <c r="A475" s="52"/>
      <c r="H475" s="61"/>
    </row>
    <row r="476">
      <c r="A476" s="52"/>
      <c r="H476" s="61"/>
    </row>
    <row r="477">
      <c r="A477" s="52"/>
      <c r="H477" s="61"/>
    </row>
    <row r="478">
      <c r="A478" s="52"/>
      <c r="H478" s="61"/>
    </row>
    <row r="479">
      <c r="A479" s="52"/>
      <c r="H479" s="61"/>
    </row>
    <row r="480">
      <c r="A480" s="52"/>
      <c r="H480" s="61"/>
    </row>
    <row r="481">
      <c r="A481" s="52"/>
      <c r="H481" s="61"/>
    </row>
    <row r="482">
      <c r="A482" s="52"/>
      <c r="H482" s="61"/>
    </row>
    <row r="483">
      <c r="A483" s="52"/>
      <c r="H483" s="61"/>
    </row>
    <row r="484">
      <c r="A484" s="52"/>
      <c r="H484" s="61"/>
    </row>
    <row r="485">
      <c r="A485" s="52"/>
      <c r="H485" s="61"/>
    </row>
    <row r="486">
      <c r="A486" s="52"/>
      <c r="H486" s="61"/>
    </row>
    <row r="487">
      <c r="A487" s="52"/>
      <c r="H487" s="61"/>
    </row>
    <row r="488">
      <c r="A488" s="52"/>
      <c r="H488" s="61"/>
    </row>
    <row r="489">
      <c r="A489" s="52"/>
      <c r="H489" s="61"/>
    </row>
    <row r="490">
      <c r="A490" s="52"/>
      <c r="H490" s="61"/>
    </row>
    <row r="491">
      <c r="A491" s="52"/>
      <c r="H491" s="61"/>
    </row>
    <row r="492">
      <c r="A492" s="52"/>
      <c r="H492" s="61"/>
    </row>
    <row r="493">
      <c r="A493" s="52"/>
      <c r="H493" s="61"/>
    </row>
    <row r="494">
      <c r="A494" s="52"/>
      <c r="H494" s="61"/>
    </row>
    <row r="495">
      <c r="A495" s="52"/>
      <c r="H495" s="61"/>
    </row>
    <row r="496">
      <c r="A496" s="52"/>
      <c r="H496" s="61"/>
    </row>
    <row r="497">
      <c r="A497" s="52"/>
      <c r="H497" s="61"/>
    </row>
    <row r="498">
      <c r="A498" s="52"/>
      <c r="H498" s="61"/>
    </row>
    <row r="499">
      <c r="A499" s="52"/>
      <c r="H499" s="61"/>
    </row>
    <row r="500">
      <c r="A500" s="52"/>
      <c r="H500" s="61"/>
    </row>
    <row r="501">
      <c r="A501" s="52"/>
      <c r="H501" s="61"/>
    </row>
    <row r="502">
      <c r="A502" s="52"/>
      <c r="H502" s="61"/>
    </row>
    <row r="503">
      <c r="A503" s="52"/>
      <c r="H503" s="61"/>
    </row>
    <row r="504">
      <c r="A504" s="52"/>
      <c r="H504" s="61"/>
    </row>
    <row r="505">
      <c r="A505" s="52"/>
      <c r="H505" s="61"/>
    </row>
    <row r="506">
      <c r="A506" s="52"/>
      <c r="H506" s="61"/>
    </row>
    <row r="507">
      <c r="A507" s="52"/>
      <c r="H507" s="61"/>
    </row>
    <row r="508">
      <c r="A508" s="52"/>
      <c r="H508" s="61"/>
    </row>
    <row r="509">
      <c r="A509" s="52"/>
      <c r="H509" s="61"/>
    </row>
    <row r="510">
      <c r="A510" s="52"/>
      <c r="H510" s="61"/>
    </row>
    <row r="511">
      <c r="A511" s="52"/>
      <c r="H511" s="61"/>
    </row>
    <row r="512">
      <c r="A512" s="52"/>
      <c r="H512" s="61"/>
    </row>
    <row r="513">
      <c r="A513" s="52"/>
      <c r="H513" s="61"/>
    </row>
    <row r="514">
      <c r="A514" s="52"/>
      <c r="H514" s="61"/>
    </row>
    <row r="515">
      <c r="A515" s="52"/>
      <c r="H515" s="61"/>
    </row>
    <row r="516">
      <c r="A516" s="52"/>
      <c r="H516" s="61"/>
    </row>
    <row r="517">
      <c r="A517" s="52"/>
      <c r="H517" s="61"/>
    </row>
    <row r="518">
      <c r="A518" s="52"/>
      <c r="H518" s="61"/>
    </row>
    <row r="519">
      <c r="A519" s="52"/>
      <c r="H519" s="61"/>
    </row>
    <row r="520">
      <c r="A520" s="52"/>
      <c r="H520" s="61"/>
    </row>
    <row r="521">
      <c r="A521" s="52"/>
      <c r="H521" s="61"/>
    </row>
    <row r="522">
      <c r="A522" s="52"/>
      <c r="H522" s="61"/>
    </row>
    <row r="523">
      <c r="A523" s="52"/>
      <c r="H523" s="61"/>
    </row>
    <row r="524">
      <c r="A524" s="52"/>
      <c r="H524" s="61"/>
    </row>
    <row r="525">
      <c r="A525" s="52"/>
      <c r="H525" s="61"/>
    </row>
    <row r="526">
      <c r="A526" s="52"/>
      <c r="H526" s="61"/>
    </row>
    <row r="527">
      <c r="A527" s="52"/>
      <c r="H527" s="61"/>
    </row>
    <row r="528">
      <c r="A528" s="52"/>
      <c r="H528" s="61"/>
    </row>
    <row r="529">
      <c r="A529" s="52"/>
      <c r="H529" s="61"/>
    </row>
    <row r="530">
      <c r="A530" s="52"/>
      <c r="H530" s="61"/>
    </row>
    <row r="531">
      <c r="A531" s="52"/>
      <c r="H531" s="61"/>
    </row>
    <row r="532">
      <c r="A532" s="52"/>
      <c r="H532" s="61"/>
    </row>
    <row r="533">
      <c r="A533" s="52"/>
      <c r="H533" s="61"/>
    </row>
    <row r="534">
      <c r="A534" s="52"/>
      <c r="H534" s="61"/>
    </row>
    <row r="535">
      <c r="A535" s="52"/>
      <c r="H535" s="61"/>
    </row>
    <row r="536">
      <c r="A536" s="52"/>
      <c r="H536" s="61"/>
    </row>
    <row r="537">
      <c r="A537" s="52"/>
      <c r="H537" s="61"/>
    </row>
    <row r="538">
      <c r="A538" s="52"/>
      <c r="H538" s="61"/>
    </row>
    <row r="539">
      <c r="A539" s="52"/>
      <c r="H539" s="61"/>
    </row>
    <row r="540">
      <c r="A540" s="52"/>
      <c r="H540" s="61"/>
    </row>
    <row r="541">
      <c r="A541" s="52"/>
      <c r="H541" s="61"/>
    </row>
    <row r="542">
      <c r="A542" s="52"/>
      <c r="H542" s="61"/>
    </row>
    <row r="543">
      <c r="A543" s="52"/>
      <c r="H543" s="61"/>
    </row>
    <row r="544">
      <c r="A544" s="52"/>
      <c r="H544" s="61"/>
    </row>
    <row r="545">
      <c r="A545" s="52"/>
      <c r="H545" s="61"/>
    </row>
    <row r="546">
      <c r="A546" s="52"/>
      <c r="H546" s="61"/>
    </row>
    <row r="547">
      <c r="A547" s="52"/>
      <c r="H547" s="61"/>
    </row>
    <row r="548">
      <c r="A548" s="52"/>
      <c r="H548" s="61"/>
    </row>
    <row r="549">
      <c r="A549" s="52"/>
      <c r="H549" s="61"/>
    </row>
    <row r="550">
      <c r="A550" s="52"/>
      <c r="H550" s="61"/>
    </row>
    <row r="551">
      <c r="A551" s="52"/>
      <c r="H551" s="61"/>
    </row>
    <row r="552">
      <c r="A552" s="52"/>
      <c r="H552" s="61"/>
    </row>
    <row r="553">
      <c r="A553" s="52"/>
      <c r="H553" s="61"/>
    </row>
    <row r="554">
      <c r="A554" s="52"/>
      <c r="H554" s="61"/>
    </row>
    <row r="555">
      <c r="A555" s="52"/>
      <c r="H555" s="61"/>
    </row>
    <row r="556">
      <c r="A556" s="52"/>
      <c r="H556" s="61"/>
    </row>
    <row r="557">
      <c r="A557" s="52"/>
      <c r="H557" s="61"/>
    </row>
    <row r="558">
      <c r="A558" s="52"/>
      <c r="H558" s="61"/>
    </row>
    <row r="559">
      <c r="A559" s="52"/>
      <c r="H559" s="61"/>
    </row>
    <row r="560">
      <c r="A560" s="52"/>
      <c r="H560" s="61"/>
    </row>
    <row r="561">
      <c r="A561" s="52"/>
      <c r="H561" s="61"/>
    </row>
    <row r="562">
      <c r="A562" s="52"/>
      <c r="H562" s="61"/>
    </row>
    <row r="563">
      <c r="A563" s="52"/>
      <c r="H563" s="61"/>
    </row>
    <row r="564">
      <c r="A564" s="52"/>
      <c r="H564" s="61"/>
    </row>
    <row r="565">
      <c r="A565" s="52"/>
      <c r="H565" s="61"/>
    </row>
    <row r="566">
      <c r="A566" s="52"/>
      <c r="H566" s="61"/>
    </row>
    <row r="567">
      <c r="A567" s="52"/>
      <c r="H567" s="61"/>
    </row>
    <row r="568">
      <c r="A568" s="52"/>
      <c r="H568" s="61"/>
    </row>
    <row r="569">
      <c r="A569" s="52"/>
      <c r="H569" s="61"/>
    </row>
    <row r="570">
      <c r="A570" s="52"/>
      <c r="H570" s="61"/>
    </row>
    <row r="571">
      <c r="A571" s="52"/>
      <c r="H571" s="61"/>
    </row>
    <row r="572">
      <c r="A572" s="52"/>
      <c r="H572" s="61"/>
    </row>
    <row r="573">
      <c r="A573" s="52"/>
      <c r="H573" s="61"/>
    </row>
    <row r="574">
      <c r="A574" s="52"/>
      <c r="H574" s="61"/>
    </row>
    <row r="575">
      <c r="A575" s="52"/>
      <c r="H575" s="61"/>
    </row>
    <row r="576">
      <c r="A576" s="52"/>
      <c r="H576" s="61"/>
    </row>
    <row r="577">
      <c r="A577" s="52"/>
      <c r="H577" s="61"/>
    </row>
    <row r="578">
      <c r="A578" s="52"/>
      <c r="H578" s="61"/>
    </row>
    <row r="579">
      <c r="A579" s="52"/>
      <c r="H579" s="61"/>
    </row>
    <row r="580">
      <c r="A580" s="52"/>
      <c r="H580" s="61"/>
    </row>
    <row r="581">
      <c r="A581" s="52"/>
      <c r="H581" s="61"/>
    </row>
    <row r="582">
      <c r="A582" s="52"/>
      <c r="H582" s="61"/>
    </row>
    <row r="583">
      <c r="A583" s="52"/>
      <c r="H583" s="61"/>
    </row>
    <row r="584">
      <c r="A584" s="52"/>
      <c r="H584" s="61"/>
    </row>
    <row r="585">
      <c r="A585" s="52"/>
      <c r="H585" s="61"/>
    </row>
    <row r="586">
      <c r="A586" s="52"/>
      <c r="H586" s="61"/>
    </row>
    <row r="587">
      <c r="A587" s="52"/>
      <c r="H587" s="61"/>
    </row>
    <row r="588">
      <c r="A588" s="52"/>
      <c r="H588" s="61"/>
    </row>
    <row r="589">
      <c r="A589" s="52"/>
      <c r="H589" s="61"/>
    </row>
    <row r="590">
      <c r="A590" s="52"/>
      <c r="H590" s="61"/>
    </row>
    <row r="591">
      <c r="A591" s="52"/>
      <c r="H591" s="61"/>
    </row>
    <row r="592">
      <c r="A592" s="52"/>
      <c r="H592" s="61"/>
    </row>
    <row r="593">
      <c r="A593" s="52"/>
      <c r="H593" s="61"/>
    </row>
    <row r="594">
      <c r="A594" s="52"/>
      <c r="H594" s="61"/>
    </row>
    <row r="595">
      <c r="A595" s="52"/>
      <c r="H595" s="61"/>
    </row>
    <row r="596">
      <c r="A596" s="52"/>
      <c r="H596" s="61"/>
    </row>
    <row r="597">
      <c r="A597" s="52"/>
      <c r="H597" s="61"/>
    </row>
    <row r="598">
      <c r="A598" s="52"/>
      <c r="H598" s="61"/>
    </row>
    <row r="599">
      <c r="A599" s="52"/>
      <c r="H599" s="61"/>
    </row>
    <row r="600">
      <c r="A600" s="52"/>
      <c r="H600" s="61"/>
    </row>
    <row r="601">
      <c r="A601" s="52"/>
      <c r="H601" s="61"/>
    </row>
    <row r="602">
      <c r="A602" s="52"/>
      <c r="H602" s="61"/>
    </row>
    <row r="603">
      <c r="A603" s="52"/>
      <c r="H603" s="61"/>
    </row>
    <row r="604">
      <c r="A604" s="52"/>
      <c r="H604" s="61"/>
    </row>
    <row r="605">
      <c r="A605" s="52"/>
      <c r="H605" s="61"/>
    </row>
    <row r="606">
      <c r="A606" s="52"/>
      <c r="H606" s="61"/>
    </row>
    <row r="607">
      <c r="A607" s="52"/>
      <c r="H607" s="61"/>
    </row>
    <row r="608">
      <c r="A608" s="52"/>
      <c r="H608" s="61"/>
    </row>
    <row r="609">
      <c r="A609" s="52"/>
      <c r="H609" s="61"/>
    </row>
    <row r="610">
      <c r="A610" s="52"/>
      <c r="H610" s="61"/>
    </row>
    <row r="611">
      <c r="A611" s="52"/>
      <c r="H611" s="61"/>
    </row>
    <row r="612">
      <c r="A612" s="52"/>
      <c r="H612" s="61"/>
    </row>
    <row r="613">
      <c r="A613" s="52"/>
      <c r="H613" s="61"/>
    </row>
    <row r="614">
      <c r="A614" s="52"/>
      <c r="H614" s="61"/>
    </row>
    <row r="615">
      <c r="A615" s="52"/>
      <c r="H615" s="61"/>
    </row>
    <row r="616">
      <c r="A616" s="52"/>
      <c r="H616" s="61"/>
    </row>
    <row r="617">
      <c r="A617" s="52"/>
      <c r="H617" s="61"/>
    </row>
    <row r="618">
      <c r="A618" s="52"/>
      <c r="H618" s="61"/>
    </row>
    <row r="619">
      <c r="A619" s="52"/>
      <c r="H619" s="61"/>
    </row>
    <row r="620">
      <c r="A620" s="52"/>
      <c r="H620" s="61"/>
    </row>
    <row r="621">
      <c r="A621" s="52"/>
      <c r="H621" s="61"/>
    </row>
    <row r="622">
      <c r="A622" s="52"/>
      <c r="H622" s="61"/>
    </row>
    <row r="623">
      <c r="A623" s="52"/>
      <c r="H623" s="61"/>
    </row>
    <row r="624">
      <c r="A624" s="52"/>
      <c r="H624" s="61"/>
    </row>
    <row r="625">
      <c r="A625" s="52"/>
      <c r="H625" s="61"/>
    </row>
    <row r="626">
      <c r="A626" s="52"/>
      <c r="H626" s="61"/>
    </row>
    <row r="627">
      <c r="A627" s="52"/>
      <c r="H627" s="61"/>
    </row>
    <row r="628">
      <c r="A628" s="52"/>
      <c r="H628" s="61"/>
    </row>
    <row r="629">
      <c r="A629" s="52"/>
      <c r="H629" s="61"/>
    </row>
    <row r="630">
      <c r="A630" s="52"/>
      <c r="H630" s="61"/>
    </row>
    <row r="631">
      <c r="A631" s="52"/>
      <c r="H631" s="61"/>
    </row>
    <row r="632">
      <c r="A632" s="52"/>
      <c r="H632" s="61"/>
    </row>
    <row r="633">
      <c r="A633" s="52"/>
      <c r="H633" s="61"/>
    </row>
    <row r="634">
      <c r="A634" s="52"/>
      <c r="H634" s="61"/>
    </row>
    <row r="635">
      <c r="A635" s="52"/>
      <c r="H635" s="61"/>
    </row>
    <row r="636">
      <c r="A636" s="52"/>
      <c r="H636" s="61"/>
    </row>
    <row r="637">
      <c r="A637" s="52"/>
      <c r="H637" s="61"/>
    </row>
    <row r="638">
      <c r="A638" s="52"/>
      <c r="H638" s="61"/>
    </row>
    <row r="639">
      <c r="A639" s="52"/>
      <c r="H639" s="61"/>
    </row>
    <row r="640">
      <c r="A640" s="52"/>
      <c r="H640" s="61"/>
    </row>
    <row r="641">
      <c r="A641" s="52"/>
      <c r="H641" s="61"/>
    </row>
    <row r="642">
      <c r="A642" s="52"/>
      <c r="H642" s="61"/>
    </row>
    <row r="643">
      <c r="A643" s="52"/>
      <c r="H643" s="61"/>
    </row>
    <row r="644">
      <c r="A644" s="52"/>
      <c r="H644" s="61"/>
    </row>
    <row r="645">
      <c r="A645" s="52"/>
      <c r="H645" s="61"/>
    </row>
    <row r="646">
      <c r="A646" s="52"/>
      <c r="H646" s="61"/>
    </row>
    <row r="647">
      <c r="A647" s="52"/>
      <c r="H647" s="61"/>
    </row>
    <row r="648">
      <c r="A648" s="52"/>
      <c r="H648" s="61"/>
    </row>
    <row r="649">
      <c r="A649" s="52"/>
      <c r="H649" s="61"/>
    </row>
    <row r="650">
      <c r="A650" s="52"/>
      <c r="H650" s="61"/>
    </row>
    <row r="651">
      <c r="A651" s="52"/>
      <c r="H651" s="61"/>
    </row>
    <row r="652">
      <c r="A652" s="52"/>
      <c r="H652" s="61"/>
    </row>
    <row r="653">
      <c r="A653" s="52"/>
      <c r="H653" s="61"/>
    </row>
    <row r="654">
      <c r="A654" s="52"/>
      <c r="H654" s="61"/>
    </row>
    <row r="655">
      <c r="A655" s="52"/>
      <c r="H655" s="61"/>
    </row>
    <row r="656">
      <c r="A656" s="52"/>
      <c r="H656" s="61"/>
    </row>
    <row r="657">
      <c r="A657" s="52"/>
      <c r="H657" s="61"/>
    </row>
    <row r="658">
      <c r="A658" s="52"/>
      <c r="H658" s="61"/>
    </row>
    <row r="659">
      <c r="A659" s="52"/>
      <c r="H659" s="61"/>
    </row>
    <row r="660">
      <c r="A660" s="52"/>
      <c r="H660" s="61"/>
    </row>
    <row r="661">
      <c r="A661" s="52"/>
      <c r="H661" s="61"/>
    </row>
    <row r="662">
      <c r="A662" s="52"/>
      <c r="H662" s="61"/>
    </row>
    <row r="663">
      <c r="A663" s="52"/>
      <c r="H663" s="61"/>
    </row>
    <row r="664">
      <c r="A664" s="52"/>
      <c r="H664" s="61"/>
    </row>
    <row r="665">
      <c r="A665" s="52"/>
      <c r="H665" s="61"/>
    </row>
    <row r="666">
      <c r="A666" s="52"/>
      <c r="H666" s="61"/>
    </row>
    <row r="667">
      <c r="A667" s="52"/>
      <c r="H667" s="61"/>
    </row>
    <row r="668">
      <c r="A668" s="52"/>
      <c r="H668" s="61"/>
    </row>
    <row r="669">
      <c r="A669" s="52"/>
      <c r="H669" s="61"/>
    </row>
    <row r="670">
      <c r="A670" s="52"/>
      <c r="H670" s="61"/>
    </row>
    <row r="671">
      <c r="A671" s="52"/>
      <c r="H671" s="61"/>
    </row>
    <row r="672">
      <c r="A672" s="52"/>
      <c r="H672" s="61"/>
    </row>
    <row r="673">
      <c r="A673" s="52"/>
      <c r="H673" s="61"/>
    </row>
    <row r="674">
      <c r="A674" s="52"/>
      <c r="H674" s="61"/>
    </row>
    <row r="675">
      <c r="A675" s="52"/>
      <c r="H675" s="61"/>
    </row>
    <row r="676">
      <c r="A676" s="52"/>
      <c r="H676" s="61"/>
    </row>
    <row r="677">
      <c r="A677" s="52"/>
      <c r="H677" s="61"/>
    </row>
    <row r="678">
      <c r="A678" s="52"/>
      <c r="H678" s="61"/>
    </row>
    <row r="679">
      <c r="A679" s="52"/>
      <c r="H679" s="61"/>
    </row>
    <row r="680">
      <c r="A680" s="52"/>
      <c r="H680" s="61"/>
    </row>
    <row r="681">
      <c r="A681" s="52"/>
      <c r="H681" s="61"/>
    </row>
    <row r="682">
      <c r="A682" s="52"/>
      <c r="H682" s="61"/>
    </row>
    <row r="683">
      <c r="A683" s="52"/>
      <c r="H683" s="61"/>
    </row>
    <row r="684">
      <c r="A684" s="52"/>
      <c r="H684" s="61"/>
    </row>
    <row r="685">
      <c r="A685" s="52"/>
      <c r="H685" s="61"/>
    </row>
    <row r="686">
      <c r="A686" s="52"/>
      <c r="H686" s="61"/>
    </row>
    <row r="687">
      <c r="A687" s="52"/>
      <c r="H687" s="61"/>
    </row>
    <row r="688">
      <c r="A688" s="52"/>
      <c r="H688" s="61"/>
    </row>
    <row r="689">
      <c r="A689" s="52"/>
      <c r="H689" s="61"/>
    </row>
    <row r="690">
      <c r="A690" s="52"/>
      <c r="H690" s="61"/>
    </row>
    <row r="691">
      <c r="A691" s="52"/>
      <c r="H691" s="61"/>
    </row>
    <row r="692">
      <c r="A692" s="52"/>
      <c r="H692" s="61"/>
    </row>
    <row r="693">
      <c r="A693" s="52"/>
      <c r="H693" s="61"/>
    </row>
    <row r="694">
      <c r="A694" s="52"/>
      <c r="H694" s="61"/>
    </row>
    <row r="695">
      <c r="A695" s="52"/>
      <c r="H695" s="61"/>
    </row>
    <row r="696">
      <c r="A696" s="52"/>
      <c r="H696" s="61"/>
    </row>
    <row r="697">
      <c r="A697" s="52"/>
      <c r="H697" s="61"/>
    </row>
    <row r="698">
      <c r="A698" s="52"/>
      <c r="H698" s="61"/>
    </row>
    <row r="699">
      <c r="A699" s="52"/>
      <c r="H699" s="61"/>
    </row>
    <row r="700">
      <c r="A700" s="52"/>
      <c r="H700" s="61"/>
    </row>
    <row r="701">
      <c r="A701" s="52"/>
      <c r="H701" s="61"/>
    </row>
    <row r="702">
      <c r="A702" s="52"/>
      <c r="H702" s="61"/>
    </row>
    <row r="703">
      <c r="A703" s="52"/>
      <c r="H703" s="61"/>
    </row>
    <row r="704">
      <c r="A704" s="52"/>
      <c r="H704" s="61"/>
    </row>
    <row r="705">
      <c r="A705" s="52"/>
      <c r="H705" s="61"/>
    </row>
    <row r="706">
      <c r="A706" s="52"/>
      <c r="H706" s="61"/>
    </row>
    <row r="707">
      <c r="A707" s="52"/>
      <c r="H707" s="61"/>
    </row>
    <row r="708">
      <c r="A708" s="52"/>
      <c r="H708" s="61"/>
    </row>
    <row r="709">
      <c r="A709" s="52"/>
      <c r="H709" s="61"/>
    </row>
    <row r="710">
      <c r="A710" s="52"/>
      <c r="H710" s="61"/>
    </row>
    <row r="711">
      <c r="A711" s="52"/>
      <c r="H711" s="61"/>
    </row>
    <row r="712">
      <c r="A712" s="52"/>
      <c r="H712" s="61"/>
    </row>
    <row r="713">
      <c r="A713" s="52"/>
      <c r="H713" s="61"/>
    </row>
    <row r="714">
      <c r="A714" s="52"/>
      <c r="H714" s="61"/>
    </row>
    <row r="715">
      <c r="A715" s="52"/>
      <c r="H715" s="61"/>
    </row>
    <row r="716">
      <c r="A716" s="52"/>
      <c r="H716" s="61"/>
    </row>
    <row r="717">
      <c r="A717" s="52"/>
      <c r="H717" s="61"/>
    </row>
    <row r="718">
      <c r="A718" s="52"/>
      <c r="H718" s="61"/>
    </row>
    <row r="719">
      <c r="A719" s="52"/>
      <c r="H719" s="61"/>
    </row>
    <row r="720">
      <c r="A720" s="52"/>
      <c r="H720" s="61"/>
    </row>
    <row r="721">
      <c r="A721" s="52"/>
      <c r="H721" s="61"/>
    </row>
    <row r="722">
      <c r="A722" s="52"/>
      <c r="H722" s="61"/>
    </row>
    <row r="723">
      <c r="A723" s="52"/>
      <c r="H723" s="61"/>
    </row>
    <row r="724">
      <c r="A724" s="52"/>
      <c r="H724" s="61"/>
    </row>
    <row r="725">
      <c r="A725" s="52"/>
      <c r="H725" s="61"/>
    </row>
    <row r="726">
      <c r="A726" s="52"/>
      <c r="H726" s="61"/>
    </row>
    <row r="727">
      <c r="A727" s="52"/>
      <c r="H727" s="61"/>
    </row>
    <row r="728">
      <c r="A728" s="52"/>
      <c r="H728" s="61"/>
    </row>
    <row r="729">
      <c r="A729" s="52"/>
      <c r="H729" s="61"/>
    </row>
    <row r="730">
      <c r="A730" s="52"/>
      <c r="H730" s="61"/>
    </row>
    <row r="731">
      <c r="A731" s="52"/>
      <c r="H731" s="61"/>
    </row>
    <row r="732">
      <c r="A732" s="52"/>
      <c r="H732" s="61"/>
    </row>
    <row r="733">
      <c r="A733" s="52"/>
      <c r="H733" s="61"/>
    </row>
    <row r="734">
      <c r="A734" s="52"/>
      <c r="H734" s="61"/>
    </row>
    <row r="735">
      <c r="A735" s="52"/>
      <c r="H735" s="61"/>
    </row>
    <row r="736">
      <c r="A736" s="52"/>
      <c r="H736" s="61"/>
    </row>
    <row r="737">
      <c r="A737" s="52"/>
      <c r="H737" s="61"/>
    </row>
    <row r="738">
      <c r="A738" s="52"/>
      <c r="H738" s="61"/>
    </row>
    <row r="739">
      <c r="A739" s="52"/>
      <c r="H739" s="61"/>
    </row>
    <row r="740">
      <c r="A740" s="52"/>
      <c r="H740" s="61"/>
    </row>
    <row r="741">
      <c r="A741" s="52"/>
      <c r="H741" s="61"/>
    </row>
    <row r="742">
      <c r="A742" s="52"/>
      <c r="H742" s="61"/>
    </row>
    <row r="743">
      <c r="A743" s="52"/>
      <c r="H743" s="61"/>
    </row>
    <row r="744">
      <c r="A744" s="52"/>
      <c r="H744" s="61"/>
    </row>
    <row r="745">
      <c r="A745" s="52"/>
      <c r="H745" s="61"/>
    </row>
    <row r="746">
      <c r="A746" s="52"/>
      <c r="H746" s="61"/>
    </row>
    <row r="747">
      <c r="A747" s="52"/>
      <c r="H747" s="61"/>
    </row>
    <row r="748">
      <c r="A748" s="52"/>
      <c r="H748" s="61"/>
    </row>
    <row r="749">
      <c r="A749" s="52"/>
      <c r="H749" s="61"/>
    </row>
    <row r="750">
      <c r="A750" s="52"/>
      <c r="H750" s="61"/>
    </row>
    <row r="751">
      <c r="A751" s="52"/>
      <c r="H751" s="61"/>
    </row>
    <row r="752">
      <c r="A752" s="52"/>
      <c r="H752" s="61"/>
    </row>
    <row r="753">
      <c r="A753" s="52"/>
      <c r="H753" s="61"/>
    </row>
    <row r="754">
      <c r="A754" s="52"/>
      <c r="H754" s="61"/>
    </row>
    <row r="755">
      <c r="A755" s="52"/>
      <c r="H755" s="61"/>
    </row>
    <row r="756">
      <c r="A756" s="52"/>
      <c r="H756" s="61"/>
    </row>
    <row r="757">
      <c r="A757" s="52"/>
      <c r="H757" s="61"/>
    </row>
    <row r="758">
      <c r="A758" s="52"/>
      <c r="H758" s="61"/>
    </row>
    <row r="759">
      <c r="A759" s="52"/>
      <c r="H759" s="61"/>
    </row>
    <row r="760">
      <c r="A760" s="52"/>
      <c r="H760" s="61"/>
    </row>
    <row r="761">
      <c r="A761" s="52"/>
      <c r="H761" s="61"/>
    </row>
    <row r="762">
      <c r="A762" s="52"/>
      <c r="H762" s="61"/>
    </row>
    <row r="763">
      <c r="A763" s="52"/>
      <c r="H763" s="61"/>
    </row>
    <row r="764">
      <c r="A764" s="52"/>
      <c r="H764" s="61"/>
    </row>
    <row r="765">
      <c r="A765" s="52"/>
      <c r="H765" s="61"/>
    </row>
    <row r="766">
      <c r="A766" s="52"/>
      <c r="H766" s="61"/>
    </row>
    <row r="767">
      <c r="A767" s="52"/>
      <c r="H767" s="61"/>
    </row>
    <row r="768">
      <c r="A768" s="52"/>
      <c r="H768" s="61"/>
    </row>
    <row r="769">
      <c r="A769" s="52"/>
      <c r="H769" s="61"/>
    </row>
    <row r="770">
      <c r="A770" s="52"/>
      <c r="H770" s="61"/>
    </row>
    <row r="771">
      <c r="A771" s="52"/>
      <c r="H771" s="61"/>
    </row>
    <row r="772">
      <c r="A772" s="52"/>
      <c r="H772" s="61"/>
    </row>
    <row r="773">
      <c r="A773" s="52"/>
      <c r="H773" s="61"/>
    </row>
    <row r="774">
      <c r="A774" s="52"/>
      <c r="H774" s="61"/>
    </row>
    <row r="775">
      <c r="A775" s="52"/>
      <c r="H775" s="61"/>
    </row>
    <row r="776">
      <c r="A776" s="52"/>
      <c r="H776" s="61"/>
    </row>
    <row r="777">
      <c r="A777" s="52"/>
      <c r="H777" s="61"/>
    </row>
    <row r="778">
      <c r="A778" s="52"/>
      <c r="H778" s="61"/>
    </row>
    <row r="779">
      <c r="A779" s="52"/>
      <c r="H779" s="61"/>
    </row>
    <row r="780">
      <c r="A780" s="52"/>
      <c r="H780" s="61"/>
    </row>
    <row r="781">
      <c r="A781" s="52"/>
      <c r="H781" s="61"/>
    </row>
    <row r="782">
      <c r="A782" s="52"/>
      <c r="H782" s="61"/>
    </row>
    <row r="783">
      <c r="A783" s="52"/>
      <c r="H783" s="61"/>
    </row>
    <row r="784">
      <c r="A784" s="52"/>
      <c r="H784" s="61"/>
    </row>
    <row r="785">
      <c r="A785" s="52"/>
      <c r="H785" s="61"/>
    </row>
    <row r="786">
      <c r="A786" s="52"/>
      <c r="H786" s="61"/>
    </row>
    <row r="787">
      <c r="A787" s="52"/>
      <c r="H787" s="61"/>
    </row>
    <row r="788">
      <c r="A788" s="52"/>
      <c r="H788" s="61"/>
    </row>
    <row r="789">
      <c r="A789" s="52"/>
      <c r="H789" s="61"/>
    </row>
    <row r="790">
      <c r="A790" s="52"/>
      <c r="H790" s="61"/>
    </row>
    <row r="791">
      <c r="A791" s="52"/>
      <c r="H791" s="61"/>
    </row>
    <row r="792">
      <c r="A792" s="52"/>
      <c r="H792" s="61"/>
    </row>
    <row r="793">
      <c r="A793" s="52"/>
      <c r="H793" s="61"/>
    </row>
    <row r="794">
      <c r="A794" s="52"/>
      <c r="H794" s="61"/>
    </row>
    <row r="795">
      <c r="A795" s="52"/>
      <c r="H795" s="61"/>
    </row>
    <row r="796">
      <c r="A796" s="52"/>
      <c r="H796" s="61"/>
    </row>
    <row r="797">
      <c r="A797" s="52"/>
      <c r="H797" s="61"/>
    </row>
    <row r="798">
      <c r="A798" s="52"/>
      <c r="H798" s="61"/>
    </row>
    <row r="799">
      <c r="A799" s="52"/>
      <c r="H799" s="61"/>
    </row>
    <row r="800">
      <c r="A800" s="52"/>
      <c r="H800" s="61"/>
    </row>
    <row r="801">
      <c r="A801" s="52"/>
      <c r="H801" s="61"/>
    </row>
    <row r="802">
      <c r="A802" s="52"/>
      <c r="H802" s="61"/>
    </row>
    <row r="803">
      <c r="A803" s="52"/>
      <c r="H803" s="61"/>
    </row>
    <row r="804">
      <c r="A804" s="52"/>
      <c r="H804" s="61"/>
    </row>
    <row r="805">
      <c r="A805" s="52"/>
      <c r="H805" s="61"/>
    </row>
    <row r="806">
      <c r="A806" s="52"/>
      <c r="H806" s="61"/>
    </row>
    <row r="807">
      <c r="A807" s="52"/>
      <c r="H807" s="61"/>
    </row>
    <row r="808">
      <c r="A808" s="52"/>
      <c r="H808" s="61"/>
    </row>
    <row r="809">
      <c r="A809" s="52"/>
      <c r="H809" s="61"/>
    </row>
    <row r="810">
      <c r="A810" s="52"/>
      <c r="H810" s="61"/>
    </row>
    <row r="811">
      <c r="A811" s="52"/>
      <c r="H811" s="61"/>
    </row>
    <row r="812">
      <c r="A812" s="52"/>
      <c r="H812" s="61"/>
    </row>
    <row r="813">
      <c r="A813" s="52"/>
      <c r="H813" s="61"/>
    </row>
    <row r="814">
      <c r="A814" s="52"/>
      <c r="H814" s="61"/>
    </row>
    <row r="815">
      <c r="A815" s="52"/>
      <c r="H815" s="61"/>
    </row>
    <row r="816">
      <c r="A816" s="52"/>
      <c r="H816" s="61"/>
    </row>
    <row r="817">
      <c r="A817" s="52"/>
      <c r="H817" s="61"/>
    </row>
    <row r="818">
      <c r="A818" s="52"/>
      <c r="H818" s="61"/>
    </row>
    <row r="819">
      <c r="A819" s="52"/>
      <c r="H819" s="61"/>
    </row>
    <row r="820">
      <c r="A820" s="52"/>
      <c r="H820" s="61"/>
    </row>
    <row r="821">
      <c r="A821" s="52"/>
      <c r="H821" s="61"/>
    </row>
    <row r="822">
      <c r="A822" s="52"/>
      <c r="H822" s="61"/>
    </row>
    <row r="823">
      <c r="A823" s="52"/>
      <c r="H823" s="61"/>
    </row>
    <row r="824">
      <c r="A824" s="52"/>
      <c r="H824" s="61"/>
    </row>
    <row r="825">
      <c r="A825" s="52"/>
      <c r="H825" s="61"/>
    </row>
    <row r="826">
      <c r="A826" s="52"/>
      <c r="H826" s="61"/>
    </row>
    <row r="827">
      <c r="A827" s="52"/>
      <c r="H827" s="61"/>
    </row>
    <row r="828">
      <c r="A828" s="52"/>
      <c r="H828" s="61"/>
    </row>
    <row r="829">
      <c r="A829" s="52"/>
      <c r="H829" s="61"/>
    </row>
    <row r="830">
      <c r="A830" s="52"/>
      <c r="H830" s="61"/>
    </row>
    <row r="831">
      <c r="A831" s="52"/>
      <c r="H831" s="61"/>
    </row>
    <row r="832">
      <c r="A832" s="52"/>
      <c r="H832" s="61"/>
    </row>
    <row r="833">
      <c r="A833" s="52"/>
      <c r="H833" s="61"/>
    </row>
    <row r="834">
      <c r="A834" s="52"/>
      <c r="H834" s="61"/>
    </row>
    <row r="835">
      <c r="A835" s="52"/>
      <c r="H835" s="61"/>
    </row>
    <row r="836">
      <c r="A836" s="52"/>
      <c r="H836" s="61"/>
    </row>
    <row r="837">
      <c r="A837" s="52"/>
      <c r="H837" s="61"/>
    </row>
    <row r="838">
      <c r="A838" s="52"/>
      <c r="H838" s="61"/>
    </row>
    <row r="839">
      <c r="A839" s="52"/>
      <c r="H839" s="61"/>
    </row>
    <row r="840">
      <c r="A840" s="52"/>
      <c r="H840" s="61"/>
    </row>
    <row r="841">
      <c r="A841" s="52"/>
      <c r="H841" s="61"/>
    </row>
    <row r="842">
      <c r="A842" s="52"/>
      <c r="H842" s="61"/>
    </row>
    <row r="843">
      <c r="A843" s="52"/>
      <c r="H843" s="61"/>
    </row>
    <row r="844">
      <c r="A844" s="52"/>
      <c r="H844" s="61"/>
    </row>
    <row r="845">
      <c r="A845" s="52"/>
      <c r="H845" s="61"/>
    </row>
    <row r="846">
      <c r="A846" s="52"/>
      <c r="H846" s="61"/>
    </row>
    <row r="847">
      <c r="A847" s="52"/>
      <c r="H847" s="61"/>
    </row>
    <row r="848">
      <c r="A848" s="52"/>
      <c r="H848" s="61"/>
    </row>
    <row r="849">
      <c r="A849" s="52"/>
      <c r="H849" s="61"/>
    </row>
    <row r="850">
      <c r="A850" s="52"/>
      <c r="H850" s="61"/>
    </row>
    <row r="851">
      <c r="A851" s="52"/>
      <c r="H851" s="61"/>
    </row>
    <row r="852">
      <c r="A852" s="52"/>
      <c r="H852" s="61"/>
    </row>
    <row r="853">
      <c r="A853" s="52"/>
      <c r="H853" s="61"/>
    </row>
    <row r="854">
      <c r="A854" s="52"/>
      <c r="H854" s="61"/>
    </row>
    <row r="855">
      <c r="A855" s="52"/>
      <c r="H855" s="61"/>
    </row>
    <row r="856">
      <c r="A856" s="52"/>
      <c r="H856" s="61"/>
    </row>
    <row r="857">
      <c r="A857" s="52"/>
      <c r="H857" s="61"/>
    </row>
    <row r="858">
      <c r="A858" s="52"/>
      <c r="H858" s="61"/>
    </row>
    <row r="859">
      <c r="A859" s="52"/>
      <c r="H859" s="61"/>
    </row>
    <row r="860">
      <c r="A860" s="52"/>
      <c r="H860" s="61"/>
    </row>
    <row r="861">
      <c r="A861" s="52"/>
      <c r="H861" s="61"/>
    </row>
    <row r="862">
      <c r="A862" s="52"/>
      <c r="H862" s="61"/>
    </row>
    <row r="863">
      <c r="A863" s="52"/>
      <c r="H863" s="61"/>
    </row>
    <row r="864">
      <c r="A864" s="52"/>
      <c r="H864" s="61"/>
    </row>
    <row r="865">
      <c r="A865" s="52"/>
      <c r="H865" s="61"/>
    </row>
    <row r="866">
      <c r="A866" s="52"/>
      <c r="H866" s="61"/>
    </row>
    <row r="867">
      <c r="A867" s="52"/>
      <c r="H867" s="61"/>
    </row>
    <row r="868">
      <c r="A868" s="52"/>
      <c r="H868" s="61"/>
    </row>
    <row r="869">
      <c r="A869" s="52"/>
      <c r="H869" s="61"/>
    </row>
    <row r="870">
      <c r="A870" s="52"/>
      <c r="H870" s="61"/>
    </row>
    <row r="871">
      <c r="A871" s="52"/>
      <c r="H871" s="61"/>
    </row>
    <row r="872">
      <c r="A872" s="52"/>
      <c r="H872" s="61"/>
    </row>
    <row r="873">
      <c r="A873" s="52"/>
      <c r="H873" s="61"/>
    </row>
    <row r="874">
      <c r="A874" s="52"/>
      <c r="H874" s="61"/>
    </row>
    <row r="875">
      <c r="A875" s="52"/>
      <c r="H875" s="61"/>
    </row>
    <row r="876">
      <c r="A876" s="52"/>
      <c r="H876" s="61"/>
    </row>
    <row r="877">
      <c r="A877" s="52"/>
      <c r="H877" s="61"/>
    </row>
    <row r="878">
      <c r="A878" s="52"/>
      <c r="H878" s="61"/>
    </row>
    <row r="879">
      <c r="A879" s="52"/>
      <c r="H879" s="61"/>
    </row>
    <row r="880">
      <c r="A880" s="52"/>
      <c r="H880" s="61"/>
    </row>
    <row r="881">
      <c r="A881" s="52"/>
      <c r="H881" s="61"/>
    </row>
    <row r="882">
      <c r="A882" s="52"/>
      <c r="H882" s="61"/>
    </row>
    <row r="883">
      <c r="A883" s="52"/>
      <c r="H883" s="61"/>
    </row>
    <row r="884">
      <c r="A884" s="52"/>
      <c r="H884" s="61"/>
    </row>
    <row r="885">
      <c r="A885" s="52"/>
      <c r="H885" s="61"/>
    </row>
    <row r="886">
      <c r="A886" s="52"/>
      <c r="H886" s="61"/>
    </row>
    <row r="887">
      <c r="A887" s="52"/>
      <c r="H887" s="61"/>
    </row>
    <row r="888">
      <c r="A888" s="52"/>
      <c r="H888" s="61"/>
    </row>
    <row r="889">
      <c r="A889" s="52"/>
      <c r="H889" s="61"/>
    </row>
    <row r="890">
      <c r="A890" s="52"/>
      <c r="H890" s="61"/>
    </row>
    <row r="891">
      <c r="A891" s="52"/>
      <c r="H891" s="61"/>
    </row>
    <row r="892">
      <c r="A892" s="52"/>
      <c r="H892" s="61"/>
    </row>
    <row r="893">
      <c r="A893" s="52"/>
      <c r="H893" s="61"/>
    </row>
    <row r="894">
      <c r="A894" s="52"/>
      <c r="H894" s="61"/>
    </row>
    <row r="895">
      <c r="A895" s="52"/>
      <c r="H895" s="61"/>
    </row>
    <row r="896">
      <c r="A896" s="52"/>
      <c r="H896" s="61"/>
    </row>
    <row r="897">
      <c r="A897" s="52"/>
      <c r="H897" s="61"/>
    </row>
    <row r="898">
      <c r="A898" s="52"/>
      <c r="H898" s="61"/>
    </row>
    <row r="899">
      <c r="A899" s="52"/>
      <c r="H899" s="61"/>
    </row>
    <row r="900">
      <c r="A900" s="52"/>
      <c r="H900" s="61"/>
    </row>
    <row r="901">
      <c r="A901" s="52"/>
      <c r="H901" s="61"/>
    </row>
    <row r="902">
      <c r="A902" s="52"/>
      <c r="H902" s="61"/>
    </row>
    <row r="903">
      <c r="A903" s="52"/>
      <c r="H903" s="61"/>
    </row>
    <row r="904">
      <c r="A904" s="52"/>
      <c r="H904" s="61"/>
    </row>
    <row r="905">
      <c r="A905" s="52"/>
      <c r="H905" s="61"/>
    </row>
    <row r="906">
      <c r="A906" s="52"/>
      <c r="H906" s="61"/>
    </row>
    <row r="907">
      <c r="A907" s="52"/>
      <c r="H907" s="61"/>
    </row>
    <row r="908">
      <c r="A908" s="52"/>
      <c r="H908" s="61"/>
    </row>
    <row r="909">
      <c r="A909" s="52"/>
      <c r="H909" s="61"/>
    </row>
    <row r="910">
      <c r="A910" s="52"/>
      <c r="H910" s="61"/>
    </row>
    <row r="911">
      <c r="A911" s="52"/>
      <c r="H911" s="61"/>
    </row>
    <row r="912">
      <c r="A912" s="52"/>
      <c r="H912" s="61"/>
    </row>
    <row r="913">
      <c r="A913" s="52"/>
      <c r="H913" s="61"/>
    </row>
    <row r="914">
      <c r="A914" s="52"/>
      <c r="H914" s="61"/>
    </row>
    <row r="915">
      <c r="A915" s="52"/>
      <c r="H915" s="61"/>
    </row>
    <row r="916">
      <c r="A916" s="52"/>
      <c r="H916" s="61"/>
    </row>
    <row r="917">
      <c r="A917" s="52"/>
      <c r="H917" s="61"/>
    </row>
    <row r="918">
      <c r="A918" s="52"/>
      <c r="H918" s="61"/>
    </row>
    <row r="919">
      <c r="A919" s="52"/>
      <c r="H919" s="61"/>
    </row>
    <row r="920">
      <c r="A920" s="52"/>
      <c r="H920" s="61"/>
    </row>
    <row r="921">
      <c r="A921" s="52"/>
      <c r="H921" s="61"/>
    </row>
    <row r="922">
      <c r="A922" s="52"/>
      <c r="H922" s="61"/>
    </row>
    <row r="923">
      <c r="A923" s="52"/>
      <c r="H923" s="61"/>
    </row>
    <row r="924">
      <c r="A924" s="52"/>
      <c r="H924" s="61"/>
    </row>
    <row r="925">
      <c r="A925" s="52"/>
      <c r="H925" s="61"/>
    </row>
    <row r="926">
      <c r="A926" s="52"/>
      <c r="H926" s="61"/>
    </row>
    <row r="927">
      <c r="A927" s="52"/>
      <c r="H927" s="61"/>
    </row>
    <row r="928">
      <c r="A928" s="52"/>
      <c r="H928" s="61"/>
    </row>
    <row r="929">
      <c r="A929" s="52"/>
      <c r="H929" s="61"/>
    </row>
    <row r="930">
      <c r="A930" s="52"/>
      <c r="H930" s="61"/>
    </row>
    <row r="931">
      <c r="A931" s="52"/>
      <c r="H931" s="61"/>
    </row>
    <row r="932">
      <c r="A932" s="52"/>
      <c r="H932" s="61"/>
    </row>
    <row r="933">
      <c r="A933" s="52"/>
      <c r="H933" s="61"/>
    </row>
    <row r="934">
      <c r="A934" s="52"/>
      <c r="H934" s="61"/>
    </row>
    <row r="935">
      <c r="A935" s="52"/>
      <c r="H935" s="61"/>
    </row>
    <row r="936">
      <c r="A936" s="52"/>
      <c r="H936" s="61"/>
    </row>
    <row r="937">
      <c r="A937" s="52"/>
      <c r="H937" s="61"/>
    </row>
    <row r="938">
      <c r="A938" s="52"/>
      <c r="H938" s="61"/>
    </row>
    <row r="939">
      <c r="A939" s="52"/>
      <c r="H939" s="61"/>
    </row>
    <row r="940">
      <c r="A940" s="52"/>
      <c r="H940" s="61"/>
    </row>
    <row r="941">
      <c r="A941" s="52"/>
      <c r="H941" s="61"/>
    </row>
    <row r="942">
      <c r="A942" s="52"/>
      <c r="H942" s="61"/>
    </row>
    <row r="943">
      <c r="A943" s="52"/>
      <c r="H943" s="61"/>
    </row>
    <row r="944">
      <c r="A944" s="52"/>
      <c r="H944" s="61"/>
    </row>
    <row r="945">
      <c r="A945" s="52"/>
      <c r="H945" s="61"/>
    </row>
    <row r="946">
      <c r="A946" s="52"/>
      <c r="H946" s="61"/>
    </row>
    <row r="947">
      <c r="A947" s="52"/>
      <c r="H947" s="61"/>
    </row>
    <row r="948">
      <c r="A948" s="52"/>
      <c r="H948" s="61"/>
    </row>
    <row r="949">
      <c r="A949" s="52"/>
      <c r="H949" s="61"/>
    </row>
    <row r="950">
      <c r="A950" s="52"/>
      <c r="H950" s="61"/>
    </row>
    <row r="951">
      <c r="A951" s="52"/>
      <c r="H951" s="61"/>
    </row>
    <row r="952">
      <c r="A952" s="52"/>
      <c r="H952" s="61"/>
    </row>
    <row r="953">
      <c r="A953" s="52"/>
      <c r="H953" s="61"/>
    </row>
    <row r="954">
      <c r="A954" s="52"/>
      <c r="H954" s="61"/>
    </row>
    <row r="955">
      <c r="A955" s="52"/>
      <c r="H955" s="61"/>
    </row>
    <row r="956">
      <c r="A956" s="52"/>
      <c r="H956" s="61"/>
    </row>
    <row r="957">
      <c r="A957" s="52"/>
      <c r="H957" s="61"/>
    </row>
    <row r="958">
      <c r="A958" s="52"/>
      <c r="H958" s="61"/>
    </row>
    <row r="959">
      <c r="A959" s="52"/>
      <c r="H959" s="61"/>
    </row>
    <row r="960">
      <c r="A960" s="52"/>
      <c r="H960" s="61"/>
    </row>
    <row r="961">
      <c r="A961" s="52"/>
      <c r="H961" s="61"/>
    </row>
    <row r="962">
      <c r="A962" s="52"/>
      <c r="H962" s="61"/>
    </row>
    <row r="963">
      <c r="A963" s="52"/>
      <c r="H963" s="61"/>
    </row>
    <row r="964">
      <c r="A964" s="52"/>
      <c r="H964" s="61"/>
    </row>
    <row r="965">
      <c r="A965" s="52"/>
      <c r="H965" s="61"/>
    </row>
    <row r="966">
      <c r="A966" s="52"/>
      <c r="H966" s="61"/>
    </row>
    <row r="967">
      <c r="A967" s="52"/>
      <c r="H967" s="61"/>
    </row>
    <row r="968">
      <c r="A968" s="52"/>
      <c r="H968" s="61"/>
    </row>
    <row r="969">
      <c r="A969" s="52"/>
      <c r="H969" s="61"/>
    </row>
    <row r="970">
      <c r="A970" s="52"/>
      <c r="H970" s="61"/>
    </row>
    <row r="971">
      <c r="A971" s="52"/>
      <c r="H971" s="61"/>
    </row>
    <row r="972">
      <c r="A972" s="52"/>
      <c r="H972" s="61"/>
    </row>
    <row r="973">
      <c r="A973" s="52"/>
      <c r="H973" s="61"/>
    </row>
    <row r="974">
      <c r="A974" s="52"/>
      <c r="H974" s="61"/>
    </row>
    <row r="975">
      <c r="A975" s="52"/>
      <c r="H975" s="61"/>
    </row>
    <row r="976">
      <c r="A976" s="52"/>
      <c r="H976" s="61"/>
    </row>
    <row r="977">
      <c r="A977" s="52"/>
      <c r="H977" s="61"/>
    </row>
    <row r="978">
      <c r="A978" s="52"/>
      <c r="H978" s="61"/>
    </row>
    <row r="979">
      <c r="A979" s="52"/>
      <c r="H979" s="61"/>
    </row>
    <row r="980">
      <c r="A980" s="52"/>
      <c r="H980" s="61"/>
    </row>
    <row r="981">
      <c r="A981" s="52"/>
      <c r="H981" s="61"/>
    </row>
    <row r="982">
      <c r="A982" s="52"/>
      <c r="H982" s="61"/>
    </row>
    <row r="983">
      <c r="A983" s="52"/>
      <c r="H983" s="61"/>
    </row>
    <row r="984">
      <c r="A984" s="52"/>
      <c r="H984" s="61"/>
    </row>
    <row r="985">
      <c r="A985" s="52"/>
      <c r="H985" s="61"/>
    </row>
    <row r="986">
      <c r="A986" s="52"/>
      <c r="H986" s="61"/>
    </row>
    <row r="987">
      <c r="A987" s="52"/>
      <c r="H987" s="61"/>
    </row>
    <row r="988">
      <c r="A988" s="52"/>
      <c r="H988" s="61"/>
    </row>
    <row r="989">
      <c r="A989" s="52"/>
      <c r="H989" s="61"/>
    </row>
    <row r="990">
      <c r="A990" s="52"/>
      <c r="H990" s="61"/>
    </row>
    <row r="991">
      <c r="A991" s="52"/>
      <c r="H991" s="61"/>
    </row>
    <row r="992">
      <c r="A992" s="52"/>
      <c r="H992" s="61"/>
    </row>
    <row r="993">
      <c r="A993" s="52"/>
      <c r="H993" s="61"/>
    </row>
    <row r="994">
      <c r="A994" s="52"/>
      <c r="H994" s="61"/>
    </row>
    <row r="995">
      <c r="A995" s="52"/>
      <c r="H995" s="61"/>
    </row>
    <row r="996">
      <c r="A996" s="52"/>
      <c r="H996" s="61"/>
    </row>
    <row r="997">
      <c r="A997" s="52"/>
      <c r="H997" s="61"/>
    </row>
    <row r="998">
      <c r="A998" s="52"/>
      <c r="H998" s="61"/>
    </row>
    <row r="999">
      <c r="A999" s="52"/>
      <c r="H999" s="61"/>
    </row>
    <row r="1000">
      <c r="A1000" s="52"/>
      <c r="H1000" s="61"/>
    </row>
    <row r="1001">
      <c r="A1001" s="52"/>
      <c r="H1001" s="61"/>
    </row>
    <row r="1002">
      <c r="A1002" s="52"/>
      <c r="H1002" s="61"/>
    </row>
    <row r="1003">
      <c r="A1003" s="52"/>
      <c r="H1003" s="61"/>
    </row>
    <row r="1004">
      <c r="A1004" s="52"/>
      <c r="H1004" s="61"/>
    </row>
    <row r="1005">
      <c r="A1005" s="52"/>
      <c r="H1005" s="61"/>
    </row>
    <row r="1006">
      <c r="A1006" s="52"/>
      <c r="H1006" s="61"/>
    </row>
    <row r="1007">
      <c r="A1007" s="52"/>
      <c r="H1007" s="61"/>
    </row>
    <row r="1008">
      <c r="A1008" s="52"/>
      <c r="H1008" s="61"/>
    </row>
    <row r="1009">
      <c r="A1009" s="52"/>
      <c r="H1009" s="61"/>
    </row>
    <row r="1010">
      <c r="A1010" s="52"/>
      <c r="H1010" s="61"/>
    </row>
    <row r="1011">
      <c r="A1011" s="52"/>
      <c r="H1011" s="61"/>
    </row>
    <row r="1012">
      <c r="A1012" s="52"/>
      <c r="H1012" s="61"/>
    </row>
    <row r="1013">
      <c r="A1013" s="52"/>
      <c r="H1013" s="61"/>
    </row>
    <row r="1014">
      <c r="A1014" s="52"/>
      <c r="H1014" s="61"/>
    </row>
    <row r="1015">
      <c r="A1015" s="52"/>
      <c r="H1015" s="61"/>
    </row>
    <row r="1016">
      <c r="A1016" s="52"/>
      <c r="H1016" s="61"/>
    </row>
    <row r="1017">
      <c r="A1017" s="52"/>
      <c r="H1017" s="61"/>
    </row>
    <row r="1018">
      <c r="A1018" s="52"/>
      <c r="H1018" s="61"/>
    </row>
    <row r="1019">
      <c r="A1019" s="52"/>
      <c r="H1019" s="61"/>
    </row>
    <row r="1020">
      <c r="A1020" s="52"/>
      <c r="H1020" s="61"/>
    </row>
    <row r="1021">
      <c r="A1021" s="52"/>
      <c r="H1021" s="61"/>
    </row>
    <row r="1022">
      <c r="A1022" s="52"/>
      <c r="H1022" s="61"/>
    </row>
    <row r="1023">
      <c r="A1023" s="52"/>
      <c r="H1023" s="61"/>
    </row>
    <row r="1024">
      <c r="A1024" s="52"/>
      <c r="H1024" s="61"/>
    </row>
    <row r="1025">
      <c r="A1025" s="52"/>
      <c r="H1025" s="61"/>
    </row>
    <row r="1026">
      <c r="A1026" s="52"/>
      <c r="H1026" s="61"/>
    </row>
    <row r="1027">
      <c r="A1027" s="52"/>
      <c r="H1027" s="61"/>
    </row>
    <row r="1028">
      <c r="A1028" s="52"/>
      <c r="H1028" s="61"/>
    </row>
    <row r="1029">
      <c r="A1029" s="52"/>
      <c r="H1029" s="61"/>
    </row>
    <row r="1030">
      <c r="A1030" s="52"/>
      <c r="H1030" s="61"/>
    </row>
    <row r="1031">
      <c r="A1031" s="52"/>
      <c r="H1031" s="61"/>
    </row>
    <row r="1032">
      <c r="A1032" s="52"/>
      <c r="H1032" s="61"/>
    </row>
    <row r="1033">
      <c r="A1033" s="52"/>
      <c r="H1033" s="61"/>
    </row>
    <row r="1034">
      <c r="A1034" s="52"/>
      <c r="H1034" s="61"/>
    </row>
    <row r="1035">
      <c r="A1035" s="52"/>
      <c r="H1035" s="61"/>
    </row>
    <row r="1036">
      <c r="A1036" s="52"/>
      <c r="H1036" s="61"/>
    </row>
    <row r="1037">
      <c r="A1037" s="52"/>
      <c r="H1037" s="61"/>
    </row>
    <row r="1038">
      <c r="A1038" s="52"/>
      <c r="H1038" s="61"/>
    </row>
    <row r="1039">
      <c r="A1039" s="52"/>
      <c r="H1039" s="61"/>
    </row>
    <row r="1040">
      <c r="A1040" s="52"/>
      <c r="H1040" s="61"/>
    </row>
    <row r="1041">
      <c r="A1041" s="52"/>
      <c r="H1041" s="61"/>
    </row>
    <row r="1042">
      <c r="A1042" s="52"/>
      <c r="H1042" s="61"/>
    </row>
    <row r="1043">
      <c r="A1043" s="52"/>
      <c r="H1043" s="61"/>
    </row>
    <row r="1044">
      <c r="A1044" s="52"/>
      <c r="H1044" s="61"/>
    </row>
    <row r="1045">
      <c r="A1045" s="52"/>
      <c r="H1045" s="61"/>
    </row>
    <row r="1046">
      <c r="A1046" s="52"/>
      <c r="H1046" s="61"/>
    </row>
    <row r="1047">
      <c r="A1047" s="52"/>
      <c r="H1047" s="61"/>
    </row>
    <row r="1048">
      <c r="A1048" s="52"/>
      <c r="H1048" s="61"/>
    </row>
    <row r="1049">
      <c r="A1049" s="52"/>
      <c r="H1049" s="61"/>
    </row>
    <row r="1050">
      <c r="A1050" s="52"/>
      <c r="H1050" s="61"/>
    </row>
    <row r="1051">
      <c r="A1051" s="52"/>
      <c r="H1051" s="61"/>
    </row>
    <row r="1052">
      <c r="A1052" s="52"/>
      <c r="H1052" s="61"/>
    </row>
    <row r="1053">
      <c r="A1053" s="52"/>
      <c r="H1053" s="61"/>
    </row>
    <row r="1054">
      <c r="A1054" s="52"/>
      <c r="H1054" s="61"/>
    </row>
    <row r="1055">
      <c r="A1055" s="52"/>
      <c r="H1055" s="61"/>
    </row>
    <row r="1056">
      <c r="A1056" s="52"/>
      <c r="H1056" s="61"/>
    </row>
    <row r="1057">
      <c r="A1057" s="52"/>
      <c r="H1057" s="61"/>
    </row>
    <row r="1058">
      <c r="A1058" s="52"/>
      <c r="H1058" s="61"/>
    </row>
    <row r="1059">
      <c r="A1059" s="52"/>
      <c r="H1059" s="61"/>
    </row>
    <row r="1060">
      <c r="A1060" s="52"/>
      <c r="H1060" s="61"/>
    </row>
    <row r="1061">
      <c r="A1061" s="52"/>
      <c r="H1061" s="61"/>
    </row>
  </sheetData>
  <mergeCells count="715">
    <mergeCell ref="D13:D23"/>
    <mergeCell ref="E13:E16"/>
    <mergeCell ref="E17:E20"/>
    <mergeCell ref="E21:E23"/>
    <mergeCell ref="F17:F20"/>
    <mergeCell ref="G17:G20"/>
    <mergeCell ref="H19:H20"/>
    <mergeCell ref="I19:I20"/>
    <mergeCell ref="F2:F5"/>
    <mergeCell ref="F21:F23"/>
    <mergeCell ref="C24:C27"/>
    <mergeCell ref="D24:D27"/>
    <mergeCell ref="E24:E25"/>
    <mergeCell ref="F24:F25"/>
    <mergeCell ref="G24:G25"/>
    <mergeCell ref="E26:E27"/>
    <mergeCell ref="B2:B12"/>
    <mergeCell ref="B24:B27"/>
    <mergeCell ref="F35:F36"/>
    <mergeCell ref="G35:G36"/>
    <mergeCell ref="E37:E38"/>
    <mergeCell ref="F37:F38"/>
    <mergeCell ref="A2:A38"/>
    <mergeCell ref="C2:C12"/>
    <mergeCell ref="G2:G5"/>
    <mergeCell ref="K2:K38"/>
    <mergeCell ref="G8:G10"/>
    <mergeCell ref="J19:J20"/>
    <mergeCell ref="G21:G23"/>
    <mergeCell ref="G37:G38"/>
    <mergeCell ref="F26:F27"/>
    <mergeCell ref="G26:G27"/>
    <mergeCell ref="B28:B34"/>
    <mergeCell ref="C28:C34"/>
    <mergeCell ref="D28:D34"/>
    <mergeCell ref="E28:E31"/>
    <mergeCell ref="E32:E34"/>
    <mergeCell ref="F28:F31"/>
    <mergeCell ref="G28:G31"/>
    <mergeCell ref="F32:F34"/>
    <mergeCell ref="G32:G34"/>
    <mergeCell ref="B35:B38"/>
    <mergeCell ref="C35:C38"/>
    <mergeCell ref="D35:D38"/>
    <mergeCell ref="E35:E36"/>
    <mergeCell ref="A39:AD41"/>
    <mergeCell ref="C53:C63"/>
    <mergeCell ref="D53:D63"/>
    <mergeCell ref="B64:B67"/>
    <mergeCell ref="C64:C67"/>
    <mergeCell ref="B53:B63"/>
    <mergeCell ref="B68:B74"/>
    <mergeCell ref="A81:A117"/>
    <mergeCell ref="B81:B91"/>
    <mergeCell ref="B92:B102"/>
    <mergeCell ref="B103:B106"/>
    <mergeCell ref="B107:B113"/>
    <mergeCell ref="B114:B117"/>
    <mergeCell ref="C68:C74"/>
    <mergeCell ref="D68:D74"/>
    <mergeCell ref="B13:B23"/>
    <mergeCell ref="C13:C23"/>
    <mergeCell ref="A42:A78"/>
    <mergeCell ref="B42:B52"/>
    <mergeCell ref="C42:C52"/>
    <mergeCell ref="D42:D52"/>
    <mergeCell ref="D64:D67"/>
    <mergeCell ref="D75:D78"/>
    <mergeCell ref="C103:C106"/>
    <mergeCell ref="C107:C113"/>
    <mergeCell ref="D107:D113"/>
    <mergeCell ref="C114:C117"/>
    <mergeCell ref="D114:D117"/>
    <mergeCell ref="B75:B78"/>
    <mergeCell ref="C75:C78"/>
    <mergeCell ref="C81:C91"/>
    <mergeCell ref="D81:D91"/>
    <mergeCell ref="C92:C102"/>
    <mergeCell ref="D92:D102"/>
    <mergeCell ref="D103:D106"/>
    <mergeCell ref="F57:F60"/>
    <mergeCell ref="G57:G60"/>
    <mergeCell ref="H59:H60"/>
    <mergeCell ref="I59:I60"/>
    <mergeCell ref="G61:G63"/>
    <mergeCell ref="F64:F65"/>
    <mergeCell ref="G64:G65"/>
    <mergeCell ref="F66:F67"/>
    <mergeCell ref="G66:G67"/>
    <mergeCell ref="F68:F71"/>
    <mergeCell ref="G68:G71"/>
    <mergeCell ref="F72:F74"/>
    <mergeCell ref="G72:G74"/>
    <mergeCell ref="F75:F76"/>
    <mergeCell ref="G75:G76"/>
    <mergeCell ref="E66:E67"/>
    <mergeCell ref="E68:E71"/>
    <mergeCell ref="E72:E74"/>
    <mergeCell ref="E75:E76"/>
    <mergeCell ref="E77:E78"/>
    <mergeCell ref="F77:F78"/>
    <mergeCell ref="G77:G78"/>
    <mergeCell ref="E96:E99"/>
    <mergeCell ref="E100:E102"/>
    <mergeCell ref="E103:E104"/>
    <mergeCell ref="E105:E106"/>
    <mergeCell ref="E107:E110"/>
    <mergeCell ref="E111:E113"/>
    <mergeCell ref="E114:E115"/>
    <mergeCell ref="E116:E117"/>
    <mergeCell ref="E81:E84"/>
    <mergeCell ref="F81:F84"/>
    <mergeCell ref="G81:G84"/>
    <mergeCell ref="E85:E86"/>
    <mergeCell ref="E87:E89"/>
    <mergeCell ref="E90:E91"/>
    <mergeCell ref="E92:E95"/>
    <mergeCell ref="F6:F7"/>
    <mergeCell ref="G6:G7"/>
    <mergeCell ref="E8:E10"/>
    <mergeCell ref="F8:F10"/>
    <mergeCell ref="D2:D12"/>
    <mergeCell ref="E11:E12"/>
    <mergeCell ref="F11:F12"/>
    <mergeCell ref="G11:G12"/>
    <mergeCell ref="E2:E5"/>
    <mergeCell ref="E6:E7"/>
    <mergeCell ref="E42:E45"/>
    <mergeCell ref="F42:F45"/>
    <mergeCell ref="G42:G45"/>
    <mergeCell ref="F46:F47"/>
    <mergeCell ref="G46:G47"/>
    <mergeCell ref="F53:F56"/>
    <mergeCell ref="G53:G56"/>
    <mergeCell ref="E46:E47"/>
    <mergeCell ref="E48:E50"/>
    <mergeCell ref="E51:E52"/>
    <mergeCell ref="E53:E56"/>
    <mergeCell ref="E57:E60"/>
    <mergeCell ref="E61:E63"/>
    <mergeCell ref="E64:E65"/>
    <mergeCell ref="F124:F125"/>
    <mergeCell ref="F163:F164"/>
    <mergeCell ref="F120:F123"/>
    <mergeCell ref="G120:G123"/>
    <mergeCell ref="K120:K156"/>
    <mergeCell ref="G124:G125"/>
    <mergeCell ref="I137:I138"/>
    <mergeCell ref="J137:J138"/>
    <mergeCell ref="K159:K195"/>
    <mergeCell ref="H176:H177"/>
    <mergeCell ref="I176:I177"/>
    <mergeCell ref="J176:J177"/>
    <mergeCell ref="F181:F182"/>
    <mergeCell ref="G181:G182"/>
    <mergeCell ref="F183:F184"/>
    <mergeCell ref="G183:G184"/>
    <mergeCell ref="F185:F188"/>
    <mergeCell ref="G185:G188"/>
    <mergeCell ref="F189:F191"/>
    <mergeCell ref="G189:G191"/>
    <mergeCell ref="F192:F193"/>
    <mergeCell ref="G192:G193"/>
    <mergeCell ref="F194:F195"/>
    <mergeCell ref="G194:G195"/>
    <mergeCell ref="B259:B262"/>
    <mergeCell ref="C259:C262"/>
    <mergeCell ref="B263:B269"/>
    <mergeCell ref="C263:C269"/>
    <mergeCell ref="B270:B273"/>
    <mergeCell ref="C270:C273"/>
    <mergeCell ref="C276:C286"/>
    <mergeCell ref="B192:B195"/>
    <mergeCell ref="C192:C195"/>
    <mergeCell ref="A198:A234"/>
    <mergeCell ref="B198:B208"/>
    <mergeCell ref="C198:C208"/>
    <mergeCell ref="C209:C219"/>
    <mergeCell ref="A237:A273"/>
    <mergeCell ref="C326:C336"/>
    <mergeCell ref="D326:D336"/>
    <mergeCell ref="B337:B340"/>
    <mergeCell ref="C337:C340"/>
    <mergeCell ref="C341:C347"/>
    <mergeCell ref="D341:D347"/>
    <mergeCell ref="E276:E279"/>
    <mergeCell ref="E280:E281"/>
    <mergeCell ref="E315:E318"/>
    <mergeCell ref="E321:E323"/>
    <mergeCell ref="E324:E325"/>
    <mergeCell ref="E326:E329"/>
    <mergeCell ref="E330:E333"/>
    <mergeCell ref="E334:E336"/>
    <mergeCell ref="E337:E338"/>
    <mergeCell ref="E339:E340"/>
    <mergeCell ref="E341:E344"/>
    <mergeCell ref="E345:E347"/>
    <mergeCell ref="E348:E349"/>
    <mergeCell ref="E350:E351"/>
    <mergeCell ref="E360:E362"/>
    <mergeCell ref="E363:E364"/>
    <mergeCell ref="E365:E368"/>
    <mergeCell ref="E369:E372"/>
    <mergeCell ref="E373:E375"/>
    <mergeCell ref="E376:E377"/>
    <mergeCell ref="E378:E379"/>
    <mergeCell ref="E380:E383"/>
    <mergeCell ref="E384:E386"/>
    <mergeCell ref="E387:E388"/>
    <mergeCell ref="E389:E390"/>
    <mergeCell ref="E393:E396"/>
    <mergeCell ref="E397:E398"/>
    <mergeCell ref="E399:E401"/>
    <mergeCell ref="E402:E403"/>
    <mergeCell ref="E404:E407"/>
    <mergeCell ref="E408:E411"/>
    <mergeCell ref="E412:E414"/>
    <mergeCell ref="E415:E416"/>
    <mergeCell ref="E417:E418"/>
    <mergeCell ref="E419:E422"/>
    <mergeCell ref="E423:E425"/>
    <mergeCell ref="E426:E427"/>
    <mergeCell ref="E428:E429"/>
    <mergeCell ref="E432:E435"/>
    <mergeCell ref="E436:E437"/>
    <mergeCell ref="E438:E440"/>
    <mergeCell ref="E441:E442"/>
    <mergeCell ref="E465:E466"/>
    <mergeCell ref="E467:E468"/>
    <mergeCell ref="E443:E446"/>
    <mergeCell ref="E447:E450"/>
    <mergeCell ref="E451:E453"/>
    <mergeCell ref="E454:E455"/>
    <mergeCell ref="E456:E457"/>
    <mergeCell ref="E458:E461"/>
    <mergeCell ref="E462:E464"/>
    <mergeCell ref="B170:B180"/>
    <mergeCell ref="C170:C180"/>
    <mergeCell ref="D181:D184"/>
    <mergeCell ref="E181:E182"/>
    <mergeCell ref="E183:E184"/>
    <mergeCell ref="B185:B191"/>
    <mergeCell ref="C185:C191"/>
    <mergeCell ref="D185:D191"/>
    <mergeCell ref="E185:E188"/>
    <mergeCell ref="E189:E191"/>
    <mergeCell ref="D153:D156"/>
    <mergeCell ref="E153:E154"/>
    <mergeCell ref="E155:E156"/>
    <mergeCell ref="A159:A195"/>
    <mergeCell ref="B159:B169"/>
    <mergeCell ref="C159:C169"/>
    <mergeCell ref="D159:D169"/>
    <mergeCell ref="D270:D273"/>
    <mergeCell ref="D276:D286"/>
    <mergeCell ref="E354:E357"/>
    <mergeCell ref="E358:E359"/>
    <mergeCell ref="C432:C442"/>
    <mergeCell ref="D432:D442"/>
    <mergeCell ref="B419:B425"/>
    <mergeCell ref="C419:C425"/>
    <mergeCell ref="D419:D425"/>
    <mergeCell ref="B426:B429"/>
    <mergeCell ref="C426:C429"/>
    <mergeCell ref="D426:D429"/>
    <mergeCell ref="B432:B442"/>
    <mergeCell ref="C458:C464"/>
    <mergeCell ref="D458:D464"/>
    <mergeCell ref="B443:B453"/>
    <mergeCell ref="C443:C453"/>
    <mergeCell ref="D443:D453"/>
    <mergeCell ref="B454:B457"/>
    <mergeCell ref="C454:C457"/>
    <mergeCell ref="D454:D457"/>
    <mergeCell ref="B458:B464"/>
    <mergeCell ref="A276:A312"/>
    <mergeCell ref="B276:B286"/>
    <mergeCell ref="A315:A351"/>
    <mergeCell ref="B315:B325"/>
    <mergeCell ref="C315:C325"/>
    <mergeCell ref="D315:D325"/>
    <mergeCell ref="D337:D340"/>
    <mergeCell ref="D348:D351"/>
    <mergeCell ref="C376:C379"/>
    <mergeCell ref="C380:C386"/>
    <mergeCell ref="D380:D386"/>
    <mergeCell ref="C387:C390"/>
    <mergeCell ref="D387:D390"/>
    <mergeCell ref="C393:C403"/>
    <mergeCell ref="D393:D403"/>
    <mergeCell ref="B348:B351"/>
    <mergeCell ref="C348:C351"/>
    <mergeCell ref="C354:C364"/>
    <mergeCell ref="D354:D364"/>
    <mergeCell ref="C365:C375"/>
    <mergeCell ref="D365:D375"/>
    <mergeCell ref="D376:D379"/>
    <mergeCell ref="A354:A390"/>
    <mergeCell ref="A393:A429"/>
    <mergeCell ref="A432:A468"/>
    <mergeCell ref="B326:B336"/>
    <mergeCell ref="B341:B347"/>
    <mergeCell ref="B354:B364"/>
    <mergeCell ref="B365:B375"/>
    <mergeCell ref="B376:B379"/>
    <mergeCell ref="B380:B386"/>
    <mergeCell ref="B387:B390"/>
    <mergeCell ref="B393:B403"/>
    <mergeCell ref="B404:B414"/>
    <mergeCell ref="C404:C414"/>
    <mergeCell ref="D404:D414"/>
    <mergeCell ref="B415:B418"/>
    <mergeCell ref="C415:C418"/>
    <mergeCell ref="D415:D418"/>
    <mergeCell ref="B465:B468"/>
    <mergeCell ref="C465:C468"/>
    <mergeCell ref="D465:D468"/>
    <mergeCell ref="E139:E141"/>
    <mergeCell ref="B142:B145"/>
    <mergeCell ref="C142:C145"/>
    <mergeCell ref="D142:D145"/>
    <mergeCell ref="E142:E143"/>
    <mergeCell ref="E144:E145"/>
    <mergeCell ref="F159:F162"/>
    <mergeCell ref="G159:G162"/>
    <mergeCell ref="F96:F99"/>
    <mergeCell ref="G96:G99"/>
    <mergeCell ref="A120:A156"/>
    <mergeCell ref="C120:C130"/>
    <mergeCell ref="D120:D130"/>
    <mergeCell ref="G129:G130"/>
    <mergeCell ref="G131:G134"/>
    <mergeCell ref="E159:E162"/>
    <mergeCell ref="E163:E164"/>
    <mergeCell ref="E165:E167"/>
    <mergeCell ref="E168:E169"/>
    <mergeCell ref="D170:D180"/>
    <mergeCell ref="E170:E173"/>
    <mergeCell ref="E174:E177"/>
    <mergeCell ref="E178:E180"/>
    <mergeCell ref="F178:F180"/>
    <mergeCell ref="G178:G180"/>
    <mergeCell ref="B181:B184"/>
    <mergeCell ref="C181:C184"/>
    <mergeCell ref="F222:F223"/>
    <mergeCell ref="G222:G223"/>
    <mergeCell ref="B220:B223"/>
    <mergeCell ref="C220:C223"/>
    <mergeCell ref="D220:D223"/>
    <mergeCell ref="E220:E221"/>
    <mergeCell ref="F220:F221"/>
    <mergeCell ref="G220:G221"/>
    <mergeCell ref="E222:E223"/>
    <mergeCell ref="F228:F230"/>
    <mergeCell ref="G228:G230"/>
    <mergeCell ref="B224:B230"/>
    <mergeCell ref="C224:C230"/>
    <mergeCell ref="D224:D230"/>
    <mergeCell ref="E224:E227"/>
    <mergeCell ref="F224:F227"/>
    <mergeCell ref="G224:G227"/>
    <mergeCell ref="E228:E230"/>
    <mergeCell ref="F233:F234"/>
    <mergeCell ref="G233:G234"/>
    <mergeCell ref="B231:B234"/>
    <mergeCell ref="C231:C234"/>
    <mergeCell ref="D231:D234"/>
    <mergeCell ref="E231:E232"/>
    <mergeCell ref="F231:F232"/>
    <mergeCell ref="G231:G232"/>
    <mergeCell ref="E233:E234"/>
    <mergeCell ref="E209:E212"/>
    <mergeCell ref="E213:E216"/>
    <mergeCell ref="F213:F216"/>
    <mergeCell ref="G213:G216"/>
    <mergeCell ref="E217:E219"/>
    <mergeCell ref="F217:F219"/>
    <mergeCell ref="G217:G219"/>
    <mergeCell ref="E243:E245"/>
    <mergeCell ref="F243:F245"/>
    <mergeCell ref="E241:E242"/>
    <mergeCell ref="E246:E247"/>
    <mergeCell ref="F246:F247"/>
    <mergeCell ref="G246:G247"/>
    <mergeCell ref="B209:B219"/>
    <mergeCell ref="B237:B247"/>
    <mergeCell ref="D237:D247"/>
    <mergeCell ref="E237:E240"/>
    <mergeCell ref="F237:F240"/>
    <mergeCell ref="G237:G240"/>
    <mergeCell ref="G243:G245"/>
    <mergeCell ref="F256:F258"/>
    <mergeCell ref="F259:F260"/>
    <mergeCell ref="F261:F262"/>
    <mergeCell ref="F263:F266"/>
    <mergeCell ref="F267:F269"/>
    <mergeCell ref="F270:F271"/>
    <mergeCell ref="F272:F273"/>
    <mergeCell ref="F276:F279"/>
    <mergeCell ref="G259:G260"/>
    <mergeCell ref="G261:G262"/>
    <mergeCell ref="G263:G266"/>
    <mergeCell ref="G267:G269"/>
    <mergeCell ref="G270:G271"/>
    <mergeCell ref="G272:G273"/>
    <mergeCell ref="G276:G279"/>
    <mergeCell ref="F241:F242"/>
    <mergeCell ref="G241:G242"/>
    <mergeCell ref="F248:F251"/>
    <mergeCell ref="G248:G251"/>
    <mergeCell ref="F252:F255"/>
    <mergeCell ref="G252:G255"/>
    <mergeCell ref="G256:G258"/>
    <mergeCell ref="C237:C247"/>
    <mergeCell ref="B248:B258"/>
    <mergeCell ref="C248:C258"/>
    <mergeCell ref="D248:D258"/>
    <mergeCell ref="E248:E251"/>
    <mergeCell ref="E252:E255"/>
    <mergeCell ref="D259:D262"/>
    <mergeCell ref="E261:E262"/>
    <mergeCell ref="E256:E258"/>
    <mergeCell ref="E259:E260"/>
    <mergeCell ref="D263:D269"/>
    <mergeCell ref="E263:E266"/>
    <mergeCell ref="E267:E269"/>
    <mergeCell ref="E270:E271"/>
    <mergeCell ref="E272:E273"/>
    <mergeCell ref="F319:F320"/>
    <mergeCell ref="G319:G320"/>
    <mergeCell ref="F306:F308"/>
    <mergeCell ref="F309:F310"/>
    <mergeCell ref="G309:G310"/>
    <mergeCell ref="F311:F312"/>
    <mergeCell ref="G311:G312"/>
    <mergeCell ref="F315:F318"/>
    <mergeCell ref="G315:G318"/>
    <mergeCell ref="H241:H242"/>
    <mergeCell ref="H332:H333"/>
    <mergeCell ref="I332:I333"/>
    <mergeCell ref="J332:J333"/>
    <mergeCell ref="H215:H216"/>
    <mergeCell ref="I215:I216"/>
    <mergeCell ref="K237:K273"/>
    <mergeCell ref="I241:I242"/>
    <mergeCell ref="J241:J242"/>
    <mergeCell ref="K276:K312"/>
    <mergeCell ref="K315:K351"/>
    <mergeCell ref="H371:H372"/>
    <mergeCell ref="H410:H411"/>
    <mergeCell ref="I410:I411"/>
    <mergeCell ref="J410:J411"/>
    <mergeCell ref="H358:H359"/>
    <mergeCell ref="H449:H450"/>
    <mergeCell ref="I449:I450"/>
    <mergeCell ref="J449:J450"/>
    <mergeCell ref="K354:K390"/>
    <mergeCell ref="I358:I359"/>
    <mergeCell ref="J358:J359"/>
    <mergeCell ref="I371:I372"/>
    <mergeCell ref="J371:J372"/>
    <mergeCell ref="K393:K429"/>
    <mergeCell ref="K432:K468"/>
    <mergeCell ref="F204:F206"/>
    <mergeCell ref="G204:G206"/>
    <mergeCell ref="F209:F212"/>
    <mergeCell ref="G209:G212"/>
    <mergeCell ref="F174:F177"/>
    <mergeCell ref="G174:G177"/>
    <mergeCell ref="F198:F201"/>
    <mergeCell ref="G198:G201"/>
    <mergeCell ref="K198:K234"/>
    <mergeCell ref="F202:F203"/>
    <mergeCell ref="G202:G203"/>
    <mergeCell ref="J215:J216"/>
    <mergeCell ref="I254:I255"/>
    <mergeCell ref="J254:J255"/>
    <mergeCell ref="F280:F281"/>
    <mergeCell ref="G280:G281"/>
    <mergeCell ref="F282:F284"/>
    <mergeCell ref="G282:G284"/>
    <mergeCell ref="G285:G286"/>
    <mergeCell ref="H254:H255"/>
    <mergeCell ref="H293:H294"/>
    <mergeCell ref="I293:I294"/>
    <mergeCell ref="J293:J294"/>
    <mergeCell ref="F300:F301"/>
    <mergeCell ref="G300:G301"/>
    <mergeCell ref="F302:F305"/>
    <mergeCell ref="G302:G305"/>
    <mergeCell ref="G306:G308"/>
    <mergeCell ref="G334:G336"/>
    <mergeCell ref="G337:G338"/>
    <mergeCell ref="G399:G401"/>
    <mergeCell ref="G402:G403"/>
    <mergeCell ref="G378:G379"/>
    <mergeCell ref="G380:G383"/>
    <mergeCell ref="G384:G386"/>
    <mergeCell ref="G387:G388"/>
    <mergeCell ref="G389:G390"/>
    <mergeCell ref="G393:G396"/>
    <mergeCell ref="G397:G398"/>
    <mergeCell ref="F412:F414"/>
    <mergeCell ref="G412:G414"/>
    <mergeCell ref="F415:F416"/>
    <mergeCell ref="G415:G416"/>
    <mergeCell ref="F417:F418"/>
    <mergeCell ref="G417:G418"/>
    <mergeCell ref="G419:G422"/>
    <mergeCell ref="F419:F422"/>
    <mergeCell ref="F423:F425"/>
    <mergeCell ref="F426:F427"/>
    <mergeCell ref="F428:F429"/>
    <mergeCell ref="F432:F435"/>
    <mergeCell ref="F436:F437"/>
    <mergeCell ref="F438:F440"/>
    <mergeCell ref="G423:G425"/>
    <mergeCell ref="G426:G427"/>
    <mergeCell ref="G428:G429"/>
    <mergeCell ref="G432:G435"/>
    <mergeCell ref="G436:G437"/>
    <mergeCell ref="G438:G440"/>
    <mergeCell ref="G441:G442"/>
    <mergeCell ref="F462:F464"/>
    <mergeCell ref="F465:F466"/>
    <mergeCell ref="F467:F468"/>
    <mergeCell ref="F441:F442"/>
    <mergeCell ref="F443:F446"/>
    <mergeCell ref="F447:F450"/>
    <mergeCell ref="F451:F453"/>
    <mergeCell ref="F454:F455"/>
    <mergeCell ref="F456:F457"/>
    <mergeCell ref="F458:F461"/>
    <mergeCell ref="G465:G466"/>
    <mergeCell ref="G467:G468"/>
    <mergeCell ref="G443:G446"/>
    <mergeCell ref="G447:G450"/>
    <mergeCell ref="G451:G453"/>
    <mergeCell ref="G454:G455"/>
    <mergeCell ref="G456:G457"/>
    <mergeCell ref="G458:G461"/>
    <mergeCell ref="G462:G464"/>
    <mergeCell ref="F321:F323"/>
    <mergeCell ref="G321:G323"/>
    <mergeCell ref="F324:F325"/>
    <mergeCell ref="G324:G325"/>
    <mergeCell ref="F326:F329"/>
    <mergeCell ref="G326:G329"/>
    <mergeCell ref="G330:G333"/>
    <mergeCell ref="F330:F333"/>
    <mergeCell ref="F334:F336"/>
    <mergeCell ref="F337:F338"/>
    <mergeCell ref="F339:F340"/>
    <mergeCell ref="G339:G340"/>
    <mergeCell ref="F341:F344"/>
    <mergeCell ref="G341:G344"/>
    <mergeCell ref="F345:F347"/>
    <mergeCell ref="G345:G347"/>
    <mergeCell ref="F348:F349"/>
    <mergeCell ref="G348:G349"/>
    <mergeCell ref="F350:F351"/>
    <mergeCell ref="G350:G351"/>
    <mergeCell ref="G354:G357"/>
    <mergeCell ref="F354:F357"/>
    <mergeCell ref="F358:F359"/>
    <mergeCell ref="F360:F362"/>
    <mergeCell ref="F363:F364"/>
    <mergeCell ref="F365:F368"/>
    <mergeCell ref="F369:F372"/>
    <mergeCell ref="F373:F375"/>
    <mergeCell ref="G358:G359"/>
    <mergeCell ref="G360:G362"/>
    <mergeCell ref="G363:G364"/>
    <mergeCell ref="G365:G368"/>
    <mergeCell ref="G369:G372"/>
    <mergeCell ref="G373:G375"/>
    <mergeCell ref="G376:G377"/>
    <mergeCell ref="F376:F377"/>
    <mergeCell ref="F378:F379"/>
    <mergeCell ref="F380:F383"/>
    <mergeCell ref="F384:F386"/>
    <mergeCell ref="F387:F388"/>
    <mergeCell ref="F389:F390"/>
    <mergeCell ref="F393:F396"/>
    <mergeCell ref="F397:F398"/>
    <mergeCell ref="F399:F401"/>
    <mergeCell ref="F402:F403"/>
    <mergeCell ref="F404:F407"/>
    <mergeCell ref="G404:G407"/>
    <mergeCell ref="F408:F411"/>
    <mergeCell ref="G408:G411"/>
    <mergeCell ref="F48:F50"/>
    <mergeCell ref="F85:F86"/>
    <mergeCell ref="G100:G102"/>
    <mergeCell ref="F103:F104"/>
    <mergeCell ref="G103:G104"/>
    <mergeCell ref="F105:F106"/>
    <mergeCell ref="G105:G106"/>
    <mergeCell ref="F107:F110"/>
    <mergeCell ref="G107:G110"/>
    <mergeCell ref="F111:F113"/>
    <mergeCell ref="G111:G113"/>
    <mergeCell ref="F114:F115"/>
    <mergeCell ref="G114:G115"/>
    <mergeCell ref="F116:F117"/>
    <mergeCell ref="G116:G117"/>
    <mergeCell ref="F13:F16"/>
    <mergeCell ref="G13:G16"/>
    <mergeCell ref="K42:K78"/>
    <mergeCell ref="G48:G50"/>
    <mergeCell ref="G51:G52"/>
    <mergeCell ref="J59:J60"/>
    <mergeCell ref="K81:K117"/>
    <mergeCell ref="E124:E125"/>
    <mergeCell ref="E126:E128"/>
    <mergeCell ref="F126:F128"/>
    <mergeCell ref="G126:G128"/>
    <mergeCell ref="E129:E130"/>
    <mergeCell ref="F129:F130"/>
    <mergeCell ref="B120:B130"/>
    <mergeCell ref="B131:B141"/>
    <mergeCell ref="E131:E134"/>
    <mergeCell ref="F131:F134"/>
    <mergeCell ref="E120:E123"/>
    <mergeCell ref="E135:E138"/>
    <mergeCell ref="F135:F138"/>
    <mergeCell ref="G135:G138"/>
    <mergeCell ref="F51:F52"/>
    <mergeCell ref="F61:F63"/>
    <mergeCell ref="G85:G86"/>
    <mergeCell ref="F87:F89"/>
    <mergeCell ref="G87:G89"/>
    <mergeCell ref="F90:F91"/>
    <mergeCell ref="G90:G91"/>
    <mergeCell ref="F92:F95"/>
    <mergeCell ref="G92:G95"/>
    <mergeCell ref="H98:H99"/>
    <mergeCell ref="I98:I99"/>
    <mergeCell ref="J98:J99"/>
    <mergeCell ref="F100:F102"/>
    <mergeCell ref="F142:F143"/>
    <mergeCell ref="G142:G143"/>
    <mergeCell ref="C131:C141"/>
    <mergeCell ref="D131:D141"/>
    <mergeCell ref="F144:F145"/>
    <mergeCell ref="G144:G145"/>
    <mergeCell ref="B146:B152"/>
    <mergeCell ref="C146:C152"/>
    <mergeCell ref="D146:D152"/>
    <mergeCell ref="E146:E149"/>
    <mergeCell ref="E150:E152"/>
    <mergeCell ref="F146:F149"/>
    <mergeCell ref="G146:G149"/>
    <mergeCell ref="F150:F152"/>
    <mergeCell ref="G150:G152"/>
    <mergeCell ref="B153:B156"/>
    <mergeCell ref="C153:C156"/>
    <mergeCell ref="H137:H138"/>
    <mergeCell ref="F139:F141"/>
    <mergeCell ref="G139:G141"/>
    <mergeCell ref="F153:F154"/>
    <mergeCell ref="G153:G154"/>
    <mergeCell ref="F155:F156"/>
    <mergeCell ref="G155:G156"/>
    <mergeCell ref="G163:G164"/>
    <mergeCell ref="F165:F167"/>
    <mergeCell ref="G165:G167"/>
    <mergeCell ref="F168:F169"/>
    <mergeCell ref="G168:G169"/>
    <mergeCell ref="F170:F173"/>
    <mergeCell ref="G170:G173"/>
    <mergeCell ref="F207:F208"/>
    <mergeCell ref="G207:G208"/>
    <mergeCell ref="D198:D208"/>
    <mergeCell ref="D209:D219"/>
    <mergeCell ref="D192:D195"/>
    <mergeCell ref="E192:E193"/>
    <mergeCell ref="E194:E195"/>
    <mergeCell ref="E198:E201"/>
    <mergeCell ref="E202:E203"/>
    <mergeCell ref="E204:E206"/>
    <mergeCell ref="E207:E208"/>
    <mergeCell ref="B287:B297"/>
    <mergeCell ref="B298:B301"/>
    <mergeCell ref="B302:B308"/>
    <mergeCell ref="B309:B312"/>
    <mergeCell ref="E282:E284"/>
    <mergeCell ref="E285:E286"/>
    <mergeCell ref="C287:C297"/>
    <mergeCell ref="D287:D297"/>
    <mergeCell ref="E287:E290"/>
    <mergeCell ref="E291:E294"/>
    <mergeCell ref="E295:E297"/>
    <mergeCell ref="C302:C308"/>
    <mergeCell ref="C309:C312"/>
    <mergeCell ref="D309:D312"/>
    <mergeCell ref="E309:E310"/>
    <mergeCell ref="E311:E312"/>
    <mergeCell ref="E319:E320"/>
    <mergeCell ref="C298:C301"/>
    <mergeCell ref="D298:D301"/>
    <mergeCell ref="E298:E299"/>
    <mergeCell ref="E300:E301"/>
    <mergeCell ref="D302:D308"/>
    <mergeCell ref="E302:E305"/>
    <mergeCell ref="E306:E308"/>
    <mergeCell ref="F298:F299"/>
    <mergeCell ref="G298:G299"/>
    <mergeCell ref="F285:F286"/>
    <mergeCell ref="F287:F290"/>
    <mergeCell ref="G287:G290"/>
    <mergeCell ref="F291:F294"/>
    <mergeCell ref="G291:G294"/>
    <mergeCell ref="F295:F297"/>
    <mergeCell ref="G295:G29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5" max="5" width="27.13"/>
  </cols>
  <sheetData>
    <row r="1">
      <c r="A1" s="1" t="s">
        <v>0</v>
      </c>
      <c r="B1" s="6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2" t="s">
        <v>8</v>
      </c>
      <c r="J1" s="1" t="s">
        <v>9</v>
      </c>
      <c r="K1" s="1" t="s">
        <v>10</v>
      </c>
    </row>
    <row r="2">
      <c r="A2" s="5" t="s">
        <v>81</v>
      </c>
      <c r="B2" s="63" t="s">
        <v>12</v>
      </c>
      <c r="C2" s="7">
        <f>(G2*F2)+(G6*F6)+(G8*F8)+(G11*F11)</f>
        <v>0.8390125</v>
      </c>
      <c r="D2" s="7">
        <v>0.3</v>
      </c>
      <c r="E2" s="6" t="s">
        <v>13</v>
      </c>
      <c r="F2" s="7">
        <f>(J2*I2)+(J3*I3)+(J4*I4)+(J5*I5)</f>
        <v>0.94565</v>
      </c>
      <c r="G2" s="7">
        <v>0.3</v>
      </c>
      <c r="H2" s="8" t="s">
        <v>14</v>
      </c>
      <c r="I2" s="9">
        <v>0.92</v>
      </c>
      <c r="J2" s="10">
        <v>0.15</v>
      </c>
      <c r="K2" s="11">
        <f>(C2*D2)+(C13*D13)+(C24*D24)+(C28*D28)+(C35*D35)</f>
        <v>0.7746975</v>
      </c>
    </row>
    <row r="3">
      <c r="A3" s="13"/>
      <c r="B3" s="13"/>
      <c r="C3" s="13"/>
      <c r="D3" s="13"/>
      <c r="E3" s="13"/>
      <c r="F3" s="13"/>
      <c r="G3" s="13"/>
      <c r="H3" s="8" t="s">
        <v>15</v>
      </c>
      <c r="I3" s="9">
        <v>0.94</v>
      </c>
      <c r="J3" s="10">
        <v>0.5</v>
      </c>
      <c r="K3" s="13"/>
    </row>
    <row r="4">
      <c r="A4" s="13"/>
      <c r="B4" s="13"/>
      <c r="C4" s="13"/>
      <c r="D4" s="13"/>
      <c r="E4" s="13"/>
      <c r="F4" s="13"/>
      <c r="G4" s="13"/>
      <c r="H4" s="8" t="s">
        <v>16</v>
      </c>
      <c r="I4" s="14">
        <f>9.71/10</f>
        <v>0.971</v>
      </c>
      <c r="J4" s="10">
        <v>0.15</v>
      </c>
      <c r="K4" s="13"/>
    </row>
    <row r="5">
      <c r="A5" s="13"/>
      <c r="B5" s="13"/>
      <c r="C5" s="13"/>
      <c r="D5" s="13"/>
      <c r="E5" s="15"/>
      <c r="F5" s="15"/>
      <c r="G5" s="15"/>
      <c r="H5" s="8" t="s">
        <v>17</v>
      </c>
      <c r="I5" s="9">
        <v>0.96</v>
      </c>
      <c r="J5" s="10">
        <v>0.2</v>
      </c>
      <c r="K5" s="13"/>
    </row>
    <row r="6">
      <c r="A6" s="13"/>
      <c r="B6" s="13"/>
      <c r="C6" s="13"/>
      <c r="D6" s="13"/>
      <c r="E6" s="6" t="s">
        <v>18</v>
      </c>
      <c r="F6" s="7">
        <f>(J6*I6)+(I7*J7)</f>
        <v>0.95275</v>
      </c>
      <c r="G6" s="7">
        <v>0.25</v>
      </c>
      <c r="H6" s="8" t="s">
        <v>82</v>
      </c>
      <c r="I6" s="9">
        <v>1.0</v>
      </c>
      <c r="J6" s="10">
        <v>0.7</v>
      </c>
      <c r="K6" s="13"/>
    </row>
    <row r="7">
      <c r="A7" s="13"/>
      <c r="B7" s="13"/>
      <c r="C7" s="13"/>
      <c r="D7" s="13"/>
      <c r="E7" s="15"/>
      <c r="F7" s="15"/>
      <c r="G7" s="15"/>
      <c r="H7" s="8" t="s">
        <v>20</v>
      </c>
      <c r="I7" s="9">
        <f>3.37/4</f>
        <v>0.8425</v>
      </c>
      <c r="J7" s="10">
        <v>0.3</v>
      </c>
      <c r="K7" s="13"/>
    </row>
    <row r="8">
      <c r="A8" s="13"/>
      <c r="B8" s="13"/>
      <c r="C8" s="13"/>
      <c r="D8" s="13"/>
      <c r="E8" s="6" t="s">
        <v>21</v>
      </c>
      <c r="F8" s="7">
        <f>(J8*I8)+(I9*J9)+(I10*J10)</f>
        <v>0.7126</v>
      </c>
      <c r="G8" s="7">
        <v>0.3</v>
      </c>
      <c r="H8" s="8" t="s">
        <v>22</v>
      </c>
      <c r="I8" s="14">
        <f>61.6/100</f>
        <v>0.616</v>
      </c>
      <c r="J8" s="10">
        <v>0.35</v>
      </c>
      <c r="K8" s="13"/>
    </row>
    <row r="9">
      <c r="A9" s="13"/>
      <c r="B9" s="13"/>
      <c r="C9" s="13"/>
      <c r="D9" s="13"/>
      <c r="E9" s="13"/>
      <c r="F9" s="13"/>
      <c r="G9" s="13"/>
      <c r="H9" s="8" t="s">
        <v>23</v>
      </c>
      <c r="I9" s="9">
        <f>56/100</f>
        <v>0.56</v>
      </c>
      <c r="J9" s="10">
        <v>0.3</v>
      </c>
      <c r="K9" s="13"/>
    </row>
    <row r="10">
      <c r="A10" s="13"/>
      <c r="B10" s="13"/>
      <c r="C10" s="13"/>
      <c r="D10" s="13"/>
      <c r="E10" s="15"/>
      <c r="F10" s="15"/>
      <c r="G10" s="15"/>
      <c r="H10" s="8" t="s">
        <v>24</v>
      </c>
      <c r="I10" s="9">
        <v>0.94</v>
      </c>
      <c r="J10" s="10">
        <v>0.35</v>
      </c>
      <c r="K10" s="13"/>
    </row>
    <row r="11">
      <c r="A11" s="13"/>
      <c r="B11" s="13"/>
      <c r="C11" s="13"/>
      <c r="D11" s="13"/>
      <c r="E11" s="6" t="s">
        <v>25</v>
      </c>
      <c r="F11" s="7">
        <f>(J11*I11)+(I12*J12)</f>
        <v>0.689</v>
      </c>
      <c r="G11" s="7">
        <v>0.15</v>
      </c>
      <c r="H11" s="8" t="s">
        <v>26</v>
      </c>
      <c r="I11" s="9">
        <v>0.69</v>
      </c>
      <c r="J11" s="10">
        <v>0.6</v>
      </c>
      <c r="K11" s="13"/>
    </row>
    <row r="12">
      <c r="A12" s="13"/>
      <c r="B12" s="15"/>
      <c r="C12" s="15"/>
      <c r="D12" s="15"/>
      <c r="E12" s="15"/>
      <c r="F12" s="15"/>
      <c r="G12" s="15"/>
      <c r="H12" s="8" t="s">
        <v>27</v>
      </c>
      <c r="I12" s="14">
        <f>2.75/4</f>
        <v>0.6875</v>
      </c>
      <c r="J12" s="17">
        <v>0.4</v>
      </c>
      <c r="K12" s="13"/>
    </row>
    <row r="13">
      <c r="A13" s="13"/>
      <c r="B13" s="64" t="s">
        <v>28</v>
      </c>
      <c r="C13" s="19">
        <f>(G13*F13)+(F17*G17)+(F21*G21)</f>
        <v>0.7700375</v>
      </c>
      <c r="D13" s="19">
        <v>0.2</v>
      </c>
      <c r="E13" s="20" t="s">
        <v>29</v>
      </c>
      <c r="F13" s="19">
        <f>(J13*I13)+(J14*I14)+(J15*I15)+(J16*I16)</f>
        <v>0.76475</v>
      </c>
      <c r="G13" s="19">
        <v>0.35</v>
      </c>
      <c r="H13" s="21" t="s">
        <v>30</v>
      </c>
      <c r="I13" s="22">
        <v>0.8</v>
      </c>
      <c r="J13" s="23">
        <v>0.3</v>
      </c>
      <c r="K13" s="13"/>
    </row>
    <row r="14">
      <c r="A14" s="13"/>
      <c r="B14" s="13"/>
      <c r="C14" s="13"/>
      <c r="D14" s="13"/>
      <c r="E14" s="13"/>
      <c r="F14" s="13"/>
      <c r="G14" s="13"/>
      <c r="H14" s="21" t="s">
        <v>31</v>
      </c>
      <c r="I14" s="24">
        <f>3.25/4</f>
        <v>0.8125</v>
      </c>
      <c r="J14" s="23">
        <v>0.2</v>
      </c>
      <c r="K14" s="13"/>
    </row>
    <row r="15">
      <c r="A15" s="13"/>
      <c r="B15" s="13"/>
      <c r="C15" s="13"/>
      <c r="D15" s="13"/>
      <c r="E15" s="13"/>
      <c r="F15" s="13"/>
      <c r="G15" s="13"/>
      <c r="H15" s="21" t="s">
        <v>32</v>
      </c>
      <c r="I15" s="22">
        <f>3.48/4</f>
        <v>0.87</v>
      </c>
      <c r="J15" s="23">
        <v>0.2</v>
      </c>
      <c r="K15" s="13"/>
    </row>
    <row r="16">
      <c r="A16" s="13"/>
      <c r="B16" s="13"/>
      <c r="C16" s="13"/>
      <c r="D16" s="13"/>
      <c r="E16" s="15"/>
      <c r="F16" s="15"/>
      <c r="G16" s="15"/>
      <c r="H16" s="21" t="s">
        <v>33</v>
      </c>
      <c r="I16" s="22">
        <f>2.51/4</f>
        <v>0.6275</v>
      </c>
      <c r="J16" s="23">
        <v>0.3</v>
      </c>
      <c r="K16" s="13"/>
    </row>
    <row r="17">
      <c r="A17" s="13"/>
      <c r="B17" s="13"/>
      <c r="C17" s="13"/>
      <c r="D17" s="13"/>
      <c r="E17" s="25" t="s">
        <v>34</v>
      </c>
      <c r="F17" s="19">
        <f>(J17*I17)+(J18*I18)+(J19*I19)+(J20*I20)</f>
        <v>0.8725</v>
      </c>
      <c r="G17" s="19">
        <v>0.4</v>
      </c>
      <c r="H17" s="21" t="s">
        <v>35</v>
      </c>
      <c r="I17" s="22">
        <v>0.833</v>
      </c>
      <c r="J17" s="23">
        <v>0.5</v>
      </c>
      <c r="K17" s="13"/>
    </row>
    <row r="18">
      <c r="A18" s="13"/>
      <c r="B18" s="13"/>
      <c r="C18" s="13"/>
      <c r="D18" s="13"/>
      <c r="E18" s="13"/>
      <c r="F18" s="13"/>
      <c r="G18" s="13"/>
      <c r="H18" s="21" t="s">
        <v>36</v>
      </c>
      <c r="I18" s="22">
        <f>(100-9)/100</f>
        <v>0.91</v>
      </c>
      <c r="J18" s="23">
        <v>0.3</v>
      </c>
      <c r="K18" s="13"/>
    </row>
    <row r="19">
      <c r="A19" s="13"/>
      <c r="B19" s="13"/>
      <c r="C19" s="13"/>
      <c r="D19" s="13"/>
      <c r="E19" s="13"/>
      <c r="F19" s="13"/>
      <c r="G19" s="13"/>
      <c r="H19" s="26" t="s">
        <v>37</v>
      </c>
      <c r="I19" s="27">
        <f>3.66/4</f>
        <v>0.915</v>
      </c>
      <c r="J19" s="19">
        <v>0.2</v>
      </c>
      <c r="K19" s="13"/>
    </row>
    <row r="20">
      <c r="A20" s="13"/>
      <c r="B20" s="13"/>
      <c r="C20" s="13"/>
      <c r="D20" s="13"/>
      <c r="E20" s="15"/>
      <c r="F20" s="15"/>
      <c r="G20" s="15"/>
      <c r="H20" s="15"/>
      <c r="I20" s="15"/>
      <c r="J20" s="15"/>
      <c r="K20" s="13"/>
    </row>
    <row r="21">
      <c r="A21" s="13"/>
      <c r="B21" s="13"/>
      <c r="C21" s="13"/>
      <c r="D21" s="13"/>
      <c r="E21" s="25" t="s">
        <v>38</v>
      </c>
      <c r="F21" s="19">
        <f>(J21*I21)+(I22*J22)+(I23*J23)</f>
        <v>0.6135</v>
      </c>
      <c r="G21" s="19">
        <v>0.25</v>
      </c>
      <c r="H21" s="21" t="s">
        <v>39</v>
      </c>
      <c r="I21" s="24">
        <f>(100-45.5)/100</f>
        <v>0.545</v>
      </c>
      <c r="J21" s="23">
        <v>0.25</v>
      </c>
      <c r="K21" s="13"/>
    </row>
    <row r="22">
      <c r="A22" s="13"/>
      <c r="B22" s="13"/>
      <c r="C22" s="13"/>
      <c r="D22" s="13"/>
      <c r="E22" s="13"/>
      <c r="F22" s="13"/>
      <c r="G22" s="13"/>
      <c r="H22" s="21" t="s">
        <v>40</v>
      </c>
      <c r="I22" s="22">
        <f>2.16/4</f>
        <v>0.54</v>
      </c>
      <c r="J22" s="23">
        <v>0.5</v>
      </c>
      <c r="K22" s="13"/>
    </row>
    <row r="23">
      <c r="A23" s="13"/>
      <c r="B23" s="15"/>
      <c r="C23" s="15"/>
      <c r="D23" s="15"/>
      <c r="E23" s="15"/>
      <c r="F23" s="15"/>
      <c r="G23" s="15"/>
      <c r="H23" s="21" t="s">
        <v>41</v>
      </c>
      <c r="I23" s="24">
        <f>(100-17.1)/100</f>
        <v>0.829</v>
      </c>
      <c r="J23" s="23">
        <v>0.25</v>
      </c>
      <c r="K23" s="13"/>
    </row>
    <row r="24">
      <c r="A24" s="13"/>
      <c r="B24" s="65" t="s">
        <v>42</v>
      </c>
      <c r="C24" s="29">
        <f>(G24*F24)+(F26*G26)</f>
        <v>0.8714</v>
      </c>
      <c r="D24" s="29">
        <v>0.2</v>
      </c>
      <c r="E24" s="30" t="s">
        <v>43</v>
      </c>
      <c r="F24" s="29">
        <f>(J24*I24)+(I25*J25)</f>
        <v>0.9366666667</v>
      </c>
      <c r="G24" s="29">
        <v>0.45</v>
      </c>
      <c r="H24" s="31" t="s">
        <v>44</v>
      </c>
      <c r="I24" s="32">
        <v>0.93</v>
      </c>
      <c r="J24" s="33">
        <v>0.6</v>
      </c>
      <c r="K24" s="13"/>
    </row>
    <row r="25">
      <c r="A25" s="13"/>
      <c r="B25" s="13"/>
      <c r="C25" s="13"/>
      <c r="D25" s="13"/>
      <c r="E25" s="15"/>
      <c r="F25" s="15"/>
      <c r="G25" s="15"/>
      <c r="H25" s="31" t="s">
        <v>45</v>
      </c>
      <c r="I25" s="34">
        <f>2.84/3</f>
        <v>0.9466666667</v>
      </c>
      <c r="J25" s="33">
        <v>0.4</v>
      </c>
      <c r="K25" s="13"/>
    </row>
    <row r="26">
      <c r="A26" s="13"/>
      <c r="B26" s="13"/>
      <c r="C26" s="13"/>
      <c r="D26" s="13"/>
      <c r="E26" s="30" t="s">
        <v>46</v>
      </c>
      <c r="F26" s="29">
        <f>(J26*I26)+(I27*J27)</f>
        <v>0.818</v>
      </c>
      <c r="G26" s="29">
        <v>0.55</v>
      </c>
      <c r="H26" s="31" t="s">
        <v>47</v>
      </c>
      <c r="I26" s="32">
        <f>8.3/10</f>
        <v>0.83</v>
      </c>
      <c r="J26" s="33">
        <v>0.6</v>
      </c>
      <c r="K26" s="13"/>
    </row>
    <row r="27">
      <c r="A27" s="13"/>
      <c r="B27" s="15"/>
      <c r="C27" s="15"/>
      <c r="D27" s="15"/>
      <c r="E27" s="15"/>
      <c r="F27" s="15"/>
      <c r="G27" s="15"/>
      <c r="H27" s="31" t="s">
        <v>48</v>
      </c>
      <c r="I27" s="32">
        <v>0.8</v>
      </c>
      <c r="J27" s="33">
        <v>0.4</v>
      </c>
      <c r="K27" s="13"/>
    </row>
    <row r="28">
      <c r="A28" s="13"/>
      <c r="B28" s="66" t="s">
        <v>49</v>
      </c>
      <c r="C28" s="36">
        <f>(F28*G28)+(F32*G32)</f>
        <v>0.96713125</v>
      </c>
      <c r="D28" s="36">
        <v>0.2</v>
      </c>
      <c r="E28" s="37" t="s">
        <v>50</v>
      </c>
      <c r="F28" s="36">
        <f>(J28*I28)+(J29*I29)+(J30*I30)+(J31*I31)</f>
        <v>0.953125</v>
      </c>
      <c r="G28" s="36">
        <v>0.55</v>
      </c>
      <c r="H28" s="38" t="s">
        <v>51</v>
      </c>
      <c r="I28" s="39">
        <v>0.94</v>
      </c>
      <c r="J28" s="40">
        <v>0.35</v>
      </c>
      <c r="K28" s="13"/>
    </row>
    <row r="29">
      <c r="A29" s="13"/>
      <c r="B29" s="13"/>
      <c r="C29" s="13"/>
      <c r="D29" s="13"/>
      <c r="E29" s="13"/>
      <c r="F29" s="13"/>
      <c r="G29" s="13"/>
      <c r="H29" s="38" t="s">
        <v>52</v>
      </c>
      <c r="I29" s="41">
        <f>3.85/4</f>
        <v>0.9625</v>
      </c>
      <c r="J29" s="40">
        <v>0.35</v>
      </c>
      <c r="K29" s="13"/>
    </row>
    <row r="30">
      <c r="A30" s="13"/>
      <c r="B30" s="13"/>
      <c r="C30" s="13"/>
      <c r="D30" s="13"/>
      <c r="E30" s="13"/>
      <c r="F30" s="13"/>
      <c r="G30" s="13"/>
      <c r="H30" s="38" t="s">
        <v>53</v>
      </c>
      <c r="I30" s="41">
        <f>3.66/4</f>
        <v>0.915</v>
      </c>
      <c r="J30" s="40">
        <v>0.15</v>
      </c>
      <c r="K30" s="13"/>
    </row>
    <row r="31">
      <c r="A31" s="13"/>
      <c r="B31" s="13"/>
      <c r="C31" s="13"/>
      <c r="D31" s="13"/>
      <c r="E31" s="15"/>
      <c r="F31" s="15"/>
      <c r="G31" s="15"/>
      <c r="H31" s="38" t="s">
        <v>54</v>
      </c>
      <c r="I31" s="39">
        <v>1.0</v>
      </c>
      <c r="J31" s="40">
        <v>0.15</v>
      </c>
      <c r="K31" s="13"/>
    </row>
    <row r="32">
      <c r="A32" s="13"/>
      <c r="B32" s="13"/>
      <c r="C32" s="13"/>
      <c r="D32" s="13"/>
      <c r="E32" s="35" t="s">
        <v>55</v>
      </c>
      <c r="F32" s="36">
        <f>(J32*I32)+(I33*J33)+(I34*J34)</f>
        <v>0.98425</v>
      </c>
      <c r="G32" s="36">
        <v>0.45</v>
      </c>
      <c r="H32" s="38" t="s">
        <v>56</v>
      </c>
      <c r="I32" s="39">
        <f>3.93/4</f>
        <v>0.9825</v>
      </c>
      <c r="J32" s="40">
        <v>0.3</v>
      </c>
      <c r="K32" s="13"/>
    </row>
    <row r="33">
      <c r="A33" s="13"/>
      <c r="B33" s="13"/>
      <c r="C33" s="13"/>
      <c r="D33" s="13"/>
      <c r="E33" s="13"/>
      <c r="F33" s="13"/>
      <c r="G33" s="13"/>
      <c r="H33" s="38" t="s">
        <v>57</v>
      </c>
      <c r="I33" s="41">
        <f t="shared" ref="I33:I34" si="1">3.94/4</f>
        <v>0.985</v>
      </c>
      <c r="J33" s="40">
        <v>0.3</v>
      </c>
      <c r="K33" s="13"/>
    </row>
    <row r="34">
      <c r="A34" s="13"/>
      <c r="B34" s="15"/>
      <c r="C34" s="15"/>
      <c r="D34" s="15"/>
      <c r="E34" s="15"/>
      <c r="F34" s="15"/>
      <c r="G34" s="15"/>
      <c r="H34" s="38" t="s">
        <v>58</v>
      </c>
      <c r="I34" s="41">
        <f t="shared" si="1"/>
        <v>0.985</v>
      </c>
      <c r="J34" s="40">
        <v>0.4</v>
      </c>
      <c r="K34" s="13"/>
    </row>
    <row r="35">
      <c r="A35" s="13"/>
      <c r="B35" s="67" t="s">
        <v>59</v>
      </c>
      <c r="C35" s="43">
        <f>(F35*G35)+(F37*G37)</f>
        <v>0.0128</v>
      </c>
      <c r="D35" s="43">
        <v>0.1</v>
      </c>
      <c r="E35" s="42" t="s">
        <v>60</v>
      </c>
      <c r="F35" s="43">
        <f>(J35*I35)+(I36*J36)</f>
        <v>0</v>
      </c>
      <c r="G35" s="43">
        <v>0.6</v>
      </c>
      <c r="H35" s="44" t="s">
        <v>61</v>
      </c>
      <c r="I35" s="45">
        <v>0.0</v>
      </c>
      <c r="J35" s="46">
        <v>0.5</v>
      </c>
      <c r="K35" s="13"/>
    </row>
    <row r="36">
      <c r="A36" s="13"/>
      <c r="B36" s="13"/>
      <c r="C36" s="13"/>
      <c r="D36" s="13"/>
      <c r="E36" s="15"/>
      <c r="F36" s="15"/>
      <c r="G36" s="15"/>
      <c r="H36" s="44" t="s">
        <v>62</v>
      </c>
      <c r="I36" s="68">
        <v>0.0</v>
      </c>
      <c r="J36" s="46">
        <v>0.5</v>
      </c>
      <c r="K36" s="13"/>
    </row>
    <row r="37">
      <c r="A37" s="13"/>
      <c r="B37" s="13"/>
      <c r="C37" s="13"/>
      <c r="D37" s="13"/>
      <c r="E37" s="42" t="s">
        <v>63</v>
      </c>
      <c r="F37" s="43">
        <f>(J37*I37)+(I38*J38)</f>
        <v>0.032</v>
      </c>
      <c r="G37" s="43">
        <v>0.4</v>
      </c>
      <c r="H37" s="44" t="s">
        <v>64</v>
      </c>
      <c r="I37" s="45">
        <v>0.0</v>
      </c>
      <c r="J37" s="47">
        <v>0.6</v>
      </c>
      <c r="K37" s="13"/>
    </row>
    <row r="38">
      <c r="A38" s="15"/>
      <c r="B38" s="15"/>
      <c r="C38" s="15"/>
      <c r="D38" s="15"/>
      <c r="E38" s="15"/>
      <c r="F38" s="15"/>
      <c r="G38" s="15"/>
      <c r="H38" s="44" t="s">
        <v>65</v>
      </c>
      <c r="I38" s="45">
        <f>8/100</f>
        <v>0.08</v>
      </c>
      <c r="J38" s="47">
        <v>0.4</v>
      </c>
      <c r="K38" s="15"/>
    </row>
    <row r="39">
      <c r="B39" s="69"/>
    </row>
    <row r="40">
      <c r="A40" s="5" t="s">
        <v>83</v>
      </c>
      <c r="B40" s="63" t="s">
        <v>12</v>
      </c>
      <c r="C40" s="7">
        <f>(G40*F40)+(G44*F44)+(G46*F46)+(G49*F49)</f>
        <v>0.1969885</v>
      </c>
      <c r="D40" s="7">
        <v>0.3</v>
      </c>
      <c r="E40" s="6" t="s">
        <v>13</v>
      </c>
      <c r="F40" s="7">
        <f>(J40*I40)+(J41*I41)+(J42*I42)+(J43*I43)</f>
        <v>0.2241</v>
      </c>
      <c r="G40" s="7">
        <v>0.3</v>
      </c>
      <c r="H40" s="8" t="s">
        <v>14</v>
      </c>
      <c r="I40" s="9">
        <v>0.68</v>
      </c>
      <c r="J40" s="10">
        <v>0.15</v>
      </c>
      <c r="K40" s="11">
        <f>(C40*D40)+(C51*D51)+(C62*D62)+(C66*D66)+(C73*D73)</f>
        <v>0.32517655</v>
      </c>
    </row>
    <row r="41">
      <c r="A41" s="13"/>
      <c r="B41" s="13"/>
      <c r="C41" s="13"/>
      <c r="D41" s="13"/>
      <c r="E41" s="13"/>
      <c r="F41" s="13"/>
      <c r="G41" s="13"/>
      <c r="H41" s="8" t="s">
        <v>15</v>
      </c>
      <c r="I41" s="9">
        <v>0.12</v>
      </c>
      <c r="J41" s="10">
        <v>0.5</v>
      </c>
      <c r="K41" s="13"/>
    </row>
    <row r="42">
      <c r="A42" s="13"/>
      <c r="B42" s="13"/>
      <c r="C42" s="13"/>
      <c r="D42" s="13"/>
      <c r="E42" s="13"/>
      <c r="F42" s="13"/>
      <c r="G42" s="13"/>
      <c r="H42" s="8" t="s">
        <v>16</v>
      </c>
      <c r="I42" s="14">
        <f>2.94/10</f>
        <v>0.294</v>
      </c>
      <c r="J42" s="10">
        <v>0.15</v>
      </c>
      <c r="K42" s="13"/>
    </row>
    <row r="43">
      <c r="A43" s="13"/>
      <c r="B43" s="13"/>
      <c r="C43" s="13"/>
      <c r="D43" s="13"/>
      <c r="E43" s="15"/>
      <c r="F43" s="15"/>
      <c r="G43" s="15"/>
      <c r="H43" s="8" t="s">
        <v>17</v>
      </c>
      <c r="I43" s="9">
        <v>0.09</v>
      </c>
      <c r="J43" s="10">
        <v>0.2</v>
      </c>
      <c r="K43" s="13"/>
    </row>
    <row r="44">
      <c r="A44" s="13"/>
      <c r="B44" s="13"/>
      <c r="C44" s="13"/>
      <c r="D44" s="13"/>
      <c r="E44" s="6" t="s">
        <v>18</v>
      </c>
      <c r="F44" s="7">
        <f>(J44*I44)+(I45*J45)</f>
        <v>0.1435</v>
      </c>
      <c r="G44" s="7">
        <v>0.25</v>
      </c>
      <c r="H44" s="8" t="s">
        <v>19</v>
      </c>
      <c r="I44" s="9">
        <v>0.1</v>
      </c>
      <c r="J44" s="10">
        <v>0.7</v>
      </c>
      <c r="K44" s="13"/>
    </row>
    <row r="45">
      <c r="A45" s="13"/>
      <c r="B45" s="13"/>
      <c r="C45" s="13"/>
      <c r="D45" s="13"/>
      <c r="E45" s="15"/>
      <c r="F45" s="15"/>
      <c r="G45" s="15"/>
      <c r="H45" s="8" t="s">
        <v>20</v>
      </c>
      <c r="I45" s="9">
        <f>0.98/4</f>
        <v>0.245</v>
      </c>
      <c r="J45" s="10">
        <v>0.3</v>
      </c>
      <c r="K45" s="13"/>
    </row>
    <row r="46">
      <c r="A46" s="13"/>
      <c r="B46" s="13"/>
      <c r="C46" s="13"/>
      <c r="D46" s="13"/>
      <c r="E46" s="6" t="s">
        <v>21</v>
      </c>
      <c r="F46" s="7">
        <f>(J46*I46)+(I47*J47)+(I48*J48)</f>
        <v>0.302945</v>
      </c>
      <c r="G46" s="7">
        <v>0.3</v>
      </c>
      <c r="H46" s="8" t="s">
        <v>22</v>
      </c>
      <c r="I46" s="14">
        <f>43.27/100</f>
        <v>0.4327</v>
      </c>
      <c r="J46" s="10">
        <v>0.35</v>
      </c>
      <c r="K46" s="13"/>
    </row>
    <row r="47">
      <c r="A47" s="13"/>
      <c r="B47" s="13"/>
      <c r="C47" s="13"/>
      <c r="D47" s="13"/>
      <c r="E47" s="13"/>
      <c r="F47" s="13"/>
      <c r="G47" s="13"/>
      <c r="H47" s="8" t="s">
        <v>23</v>
      </c>
      <c r="I47" s="9">
        <v>0.4</v>
      </c>
      <c r="J47" s="10">
        <v>0.3</v>
      </c>
      <c r="K47" s="13"/>
    </row>
    <row r="48">
      <c r="A48" s="13"/>
      <c r="B48" s="13"/>
      <c r="C48" s="13"/>
      <c r="D48" s="13"/>
      <c r="E48" s="15"/>
      <c r="F48" s="15"/>
      <c r="G48" s="15"/>
      <c r="H48" s="8" t="s">
        <v>24</v>
      </c>
      <c r="I48" s="9">
        <v>0.09</v>
      </c>
      <c r="J48" s="10">
        <v>0.35</v>
      </c>
      <c r="K48" s="13"/>
    </row>
    <row r="49">
      <c r="A49" s="13"/>
      <c r="B49" s="13"/>
      <c r="C49" s="13"/>
      <c r="D49" s="13"/>
      <c r="E49" s="6" t="s">
        <v>25</v>
      </c>
      <c r="F49" s="7">
        <f>(J49*I49)+(I50*J50)</f>
        <v>0.02</v>
      </c>
      <c r="G49" s="7">
        <v>0.15</v>
      </c>
      <c r="H49" s="8" t="s">
        <v>26</v>
      </c>
      <c r="I49" s="9">
        <v>0.0</v>
      </c>
      <c r="J49" s="10">
        <v>0.6</v>
      </c>
      <c r="K49" s="13"/>
    </row>
    <row r="50">
      <c r="A50" s="13"/>
      <c r="B50" s="15"/>
      <c r="C50" s="15"/>
      <c r="D50" s="15"/>
      <c r="E50" s="15"/>
      <c r="F50" s="15"/>
      <c r="G50" s="15"/>
      <c r="H50" s="16" t="s">
        <v>27</v>
      </c>
      <c r="I50" s="14">
        <f>0.2/4</f>
        <v>0.05</v>
      </c>
      <c r="J50" s="17">
        <v>0.4</v>
      </c>
      <c r="K50" s="13"/>
    </row>
    <row r="51">
      <c r="A51" s="13"/>
      <c r="B51" s="64" t="s">
        <v>28</v>
      </c>
      <c r="C51" s="19">
        <f>(G51*F51)+(F55*G55)+(F59*G59)</f>
        <v>0.6311625</v>
      </c>
      <c r="D51" s="19">
        <v>0.2</v>
      </c>
      <c r="E51" s="20" t="s">
        <v>29</v>
      </c>
      <c r="F51" s="19">
        <f>(J51*I51)+(J52*I52)+(J53*I53)+(J54*I54)</f>
        <v>0.585</v>
      </c>
      <c r="G51" s="19">
        <v>0.35</v>
      </c>
      <c r="H51" s="21" t="s">
        <v>30</v>
      </c>
      <c r="I51" s="22">
        <v>0.5</v>
      </c>
      <c r="J51" s="23">
        <v>0.3</v>
      </c>
      <c r="K51" s="13"/>
    </row>
    <row r="52">
      <c r="A52" s="13"/>
      <c r="B52" s="13"/>
      <c r="C52" s="13"/>
      <c r="D52" s="13"/>
      <c r="E52" s="13"/>
      <c r="F52" s="13"/>
      <c r="G52" s="13"/>
      <c r="H52" s="21" t="s">
        <v>31</v>
      </c>
      <c r="I52" s="24">
        <f>2.96/4</f>
        <v>0.74</v>
      </c>
      <c r="J52" s="23">
        <v>0.2</v>
      </c>
      <c r="K52" s="13"/>
    </row>
    <row r="53">
      <c r="A53" s="13"/>
      <c r="B53" s="13"/>
      <c r="C53" s="13"/>
      <c r="D53" s="13"/>
      <c r="E53" s="13"/>
      <c r="F53" s="13"/>
      <c r="G53" s="13"/>
      <c r="H53" s="21" t="s">
        <v>32</v>
      </c>
      <c r="I53" s="22">
        <f>2.38/4</f>
        <v>0.595</v>
      </c>
      <c r="J53" s="23">
        <v>0.2</v>
      </c>
      <c r="K53" s="13"/>
    </row>
    <row r="54">
      <c r="A54" s="13"/>
      <c r="B54" s="13"/>
      <c r="C54" s="13"/>
      <c r="D54" s="13"/>
      <c r="E54" s="15"/>
      <c r="F54" s="15"/>
      <c r="G54" s="15"/>
      <c r="H54" s="21" t="s">
        <v>33</v>
      </c>
      <c r="I54" s="22">
        <f>2.24/4</f>
        <v>0.56</v>
      </c>
      <c r="J54" s="23">
        <v>0.3</v>
      </c>
      <c r="K54" s="13"/>
    </row>
    <row r="55">
      <c r="A55" s="13"/>
      <c r="B55" s="13"/>
      <c r="C55" s="13"/>
      <c r="D55" s="13"/>
      <c r="E55" s="25" t="s">
        <v>34</v>
      </c>
      <c r="F55" s="19">
        <f>(J55*I55)+(J56*I56)+(J57*I57)+(J58*I58)</f>
        <v>0.684</v>
      </c>
      <c r="G55" s="19">
        <v>0.4</v>
      </c>
      <c r="H55" s="21" t="s">
        <v>35</v>
      </c>
      <c r="I55" s="22">
        <v>0.762</v>
      </c>
      <c r="J55" s="23">
        <v>0.5</v>
      </c>
      <c r="K55" s="13"/>
    </row>
    <row r="56">
      <c r="A56" s="13"/>
      <c r="B56" s="13"/>
      <c r="C56" s="13"/>
      <c r="D56" s="13"/>
      <c r="E56" s="13"/>
      <c r="F56" s="13"/>
      <c r="G56" s="13"/>
      <c r="H56" s="21" t="s">
        <v>36</v>
      </c>
      <c r="I56" s="22">
        <f>(100-7)/100</f>
        <v>0.93</v>
      </c>
      <c r="J56" s="23">
        <v>0.3</v>
      </c>
      <c r="K56" s="13"/>
    </row>
    <row r="57">
      <c r="A57" s="13"/>
      <c r="B57" s="13"/>
      <c r="C57" s="13"/>
      <c r="D57" s="13"/>
      <c r="E57" s="13"/>
      <c r="F57" s="13"/>
      <c r="G57" s="13"/>
      <c r="H57" s="26" t="s">
        <v>37</v>
      </c>
      <c r="I57" s="27">
        <f>0.48/4</f>
        <v>0.12</v>
      </c>
      <c r="J57" s="19">
        <v>0.2</v>
      </c>
      <c r="K57" s="13"/>
    </row>
    <row r="58">
      <c r="A58" s="13"/>
      <c r="B58" s="13"/>
      <c r="C58" s="13"/>
      <c r="D58" s="13"/>
      <c r="E58" s="15"/>
      <c r="F58" s="15"/>
      <c r="G58" s="15"/>
      <c r="H58" s="15"/>
      <c r="I58" s="15"/>
      <c r="J58" s="15"/>
      <c r="K58" s="13"/>
    </row>
    <row r="59">
      <c r="A59" s="13"/>
      <c r="B59" s="13"/>
      <c r="C59" s="13"/>
      <c r="D59" s="13"/>
      <c r="E59" s="25" t="s">
        <v>38</v>
      </c>
      <c r="F59" s="19">
        <f>(J59*I59)+(I60*J60)+(I61*J61)</f>
        <v>0.61125</v>
      </c>
      <c r="G59" s="19">
        <v>0.25</v>
      </c>
      <c r="H59" s="21" t="s">
        <v>39</v>
      </c>
      <c r="I59" s="24">
        <f>(100-60)/100</f>
        <v>0.4</v>
      </c>
      <c r="J59" s="23">
        <v>0.5</v>
      </c>
      <c r="K59" s="13"/>
    </row>
    <row r="60">
      <c r="A60" s="13"/>
      <c r="B60" s="13"/>
      <c r="C60" s="13"/>
      <c r="D60" s="13"/>
      <c r="E60" s="13"/>
      <c r="F60" s="13"/>
      <c r="G60" s="13"/>
      <c r="H60" s="26" t="s">
        <v>40</v>
      </c>
      <c r="I60" s="54">
        <f>3.29/4</f>
        <v>0.8225</v>
      </c>
      <c r="J60" s="19">
        <v>0.5</v>
      </c>
      <c r="K60" s="13"/>
    </row>
    <row r="61">
      <c r="A61" s="13"/>
      <c r="B61" s="15"/>
      <c r="C61" s="15"/>
      <c r="D61" s="15"/>
      <c r="E61" s="15"/>
      <c r="F61" s="15"/>
      <c r="G61" s="15"/>
      <c r="H61" s="15"/>
      <c r="I61" s="15"/>
      <c r="J61" s="15"/>
      <c r="K61" s="13"/>
    </row>
    <row r="62">
      <c r="A62" s="13"/>
      <c r="B62" s="65" t="s">
        <v>42</v>
      </c>
      <c r="C62" s="29">
        <f>(G62*F62)+(F64*G64)</f>
        <v>0.3429</v>
      </c>
      <c r="D62" s="29">
        <v>0.2</v>
      </c>
      <c r="E62" s="30" t="s">
        <v>43</v>
      </c>
      <c r="F62" s="29">
        <f>(J62*I62)+(I63*J63)</f>
        <v>0.3733333333</v>
      </c>
      <c r="G62" s="29">
        <v>0.45</v>
      </c>
      <c r="H62" s="31" t="s">
        <v>44</v>
      </c>
      <c r="I62" s="32">
        <v>0.3</v>
      </c>
      <c r="J62" s="33">
        <v>0.6</v>
      </c>
      <c r="K62" s="13"/>
    </row>
    <row r="63">
      <c r="A63" s="13"/>
      <c r="B63" s="13"/>
      <c r="C63" s="13"/>
      <c r="D63" s="13"/>
      <c r="E63" s="15"/>
      <c r="F63" s="15"/>
      <c r="G63" s="15"/>
      <c r="H63" s="31" t="s">
        <v>45</v>
      </c>
      <c r="I63" s="34">
        <f>1.45/3</f>
        <v>0.4833333333</v>
      </c>
      <c r="J63" s="33">
        <v>0.4</v>
      </c>
      <c r="K63" s="13"/>
    </row>
    <row r="64">
      <c r="A64" s="13"/>
      <c r="B64" s="13"/>
      <c r="C64" s="13"/>
      <c r="D64" s="13"/>
      <c r="E64" s="30" t="s">
        <v>46</v>
      </c>
      <c r="F64" s="29">
        <f>(J64*I64)+(I65*J65)</f>
        <v>0.318</v>
      </c>
      <c r="G64" s="29">
        <v>0.55</v>
      </c>
      <c r="H64" s="31" t="s">
        <v>47</v>
      </c>
      <c r="I64" s="32">
        <f>5.3/10</f>
        <v>0.53</v>
      </c>
      <c r="J64" s="33">
        <v>0.6</v>
      </c>
      <c r="K64" s="13"/>
    </row>
    <row r="65">
      <c r="A65" s="13"/>
      <c r="B65" s="15"/>
      <c r="C65" s="15"/>
      <c r="D65" s="15"/>
      <c r="E65" s="15"/>
      <c r="F65" s="15"/>
      <c r="G65" s="15"/>
      <c r="H65" s="31" t="s">
        <v>48</v>
      </c>
      <c r="I65" s="32">
        <v>0.0</v>
      </c>
      <c r="J65" s="33">
        <v>0.4</v>
      </c>
      <c r="K65" s="13"/>
    </row>
    <row r="66">
      <c r="A66" s="13"/>
      <c r="B66" s="66" t="s">
        <v>49</v>
      </c>
      <c r="C66" s="36">
        <f>(F66*G66)+(F70*G70)</f>
        <v>0.3555375</v>
      </c>
      <c r="D66" s="36">
        <v>0.2</v>
      </c>
      <c r="E66" s="37" t="s">
        <v>50</v>
      </c>
      <c r="F66" s="36">
        <f>(J66*I66)+(J67*I67)+(J68*I68)+(J69*I69)</f>
        <v>0.3075</v>
      </c>
      <c r="G66" s="36">
        <v>0.55</v>
      </c>
      <c r="H66" s="38" t="s">
        <v>51</v>
      </c>
      <c r="I66" s="39">
        <v>0.3</v>
      </c>
      <c r="J66" s="40">
        <v>0.35</v>
      </c>
      <c r="K66" s="13"/>
    </row>
    <row r="67">
      <c r="A67" s="13"/>
      <c r="B67" s="13"/>
      <c r="C67" s="13"/>
      <c r="D67" s="13"/>
      <c r="E67" s="13"/>
      <c r="F67" s="13"/>
      <c r="G67" s="13"/>
      <c r="H67" s="38" t="s">
        <v>52</v>
      </c>
      <c r="I67" s="41">
        <f>0.54/4</f>
        <v>0.135</v>
      </c>
      <c r="J67" s="40">
        <v>0.35</v>
      </c>
      <c r="K67" s="13"/>
    </row>
    <row r="68">
      <c r="A68" s="13"/>
      <c r="B68" s="13"/>
      <c r="C68" s="13"/>
      <c r="D68" s="13"/>
      <c r="E68" s="13"/>
      <c r="F68" s="13"/>
      <c r="G68" s="13"/>
      <c r="H68" s="38" t="s">
        <v>53</v>
      </c>
      <c r="I68" s="41">
        <f>0.14/4</f>
        <v>0.035</v>
      </c>
      <c r="J68" s="40">
        <v>0.15</v>
      </c>
      <c r="K68" s="13"/>
    </row>
    <row r="69">
      <c r="A69" s="13"/>
      <c r="B69" s="13"/>
      <c r="C69" s="13"/>
      <c r="D69" s="13"/>
      <c r="E69" s="15"/>
      <c r="F69" s="15"/>
      <c r="G69" s="15"/>
      <c r="H69" s="38" t="s">
        <v>54</v>
      </c>
      <c r="I69" s="39">
        <v>1.0</v>
      </c>
      <c r="J69" s="40">
        <v>0.15</v>
      </c>
      <c r="K69" s="13"/>
    </row>
    <row r="70">
      <c r="A70" s="13"/>
      <c r="B70" s="13"/>
      <c r="C70" s="13"/>
      <c r="D70" s="13"/>
      <c r="E70" s="35" t="s">
        <v>55</v>
      </c>
      <c r="F70" s="36">
        <f>(J70*I70)+(I71*J71)+(I72*J72)</f>
        <v>0.41425</v>
      </c>
      <c r="G70" s="36">
        <v>0.45</v>
      </c>
      <c r="H70" s="38" t="s">
        <v>56</v>
      </c>
      <c r="I70" s="39">
        <f>3.94/4</f>
        <v>0.985</v>
      </c>
      <c r="J70" s="40">
        <v>0.3</v>
      </c>
      <c r="K70" s="13"/>
    </row>
    <row r="71">
      <c r="A71" s="13"/>
      <c r="B71" s="13"/>
      <c r="C71" s="13"/>
      <c r="D71" s="13"/>
      <c r="E71" s="13"/>
      <c r="F71" s="13"/>
      <c r="G71" s="13"/>
      <c r="H71" s="38" t="s">
        <v>57</v>
      </c>
      <c r="I71" s="41">
        <f>0.37/4</f>
        <v>0.0925</v>
      </c>
      <c r="J71" s="40">
        <v>0.3</v>
      </c>
      <c r="K71" s="13"/>
    </row>
    <row r="72">
      <c r="A72" s="13"/>
      <c r="B72" s="15"/>
      <c r="C72" s="15"/>
      <c r="D72" s="15"/>
      <c r="E72" s="15"/>
      <c r="F72" s="15"/>
      <c r="G72" s="15"/>
      <c r="H72" s="38" t="s">
        <v>58</v>
      </c>
      <c r="I72" s="41">
        <f>0.91/4</f>
        <v>0.2275</v>
      </c>
      <c r="J72" s="40">
        <v>0.4</v>
      </c>
      <c r="K72" s="13"/>
    </row>
    <row r="73">
      <c r="A73" s="13"/>
      <c r="B73" s="67" t="s">
        <v>59</v>
      </c>
      <c r="C73" s="43">
        <f>(F73*G73)+(F75*G75)</f>
        <v>0.0016</v>
      </c>
      <c r="D73" s="43">
        <v>0.1</v>
      </c>
      <c r="E73" s="42" t="s">
        <v>60</v>
      </c>
      <c r="F73" s="43">
        <f>(J73*I73)+(I74*J74)</f>
        <v>0</v>
      </c>
      <c r="G73" s="43">
        <v>0.6</v>
      </c>
      <c r="H73" s="44" t="s">
        <v>61</v>
      </c>
      <c r="I73" s="45">
        <v>0.0</v>
      </c>
      <c r="J73" s="46">
        <v>0.5</v>
      </c>
      <c r="K73" s="13"/>
    </row>
    <row r="74">
      <c r="A74" s="13"/>
      <c r="B74" s="13"/>
      <c r="C74" s="13"/>
      <c r="D74" s="13"/>
      <c r="E74" s="15"/>
      <c r="F74" s="15"/>
      <c r="G74" s="15"/>
      <c r="H74" s="44" t="s">
        <v>62</v>
      </c>
      <c r="I74" s="68">
        <v>0.0</v>
      </c>
      <c r="J74" s="46">
        <v>0.5</v>
      </c>
      <c r="K74" s="13"/>
    </row>
    <row r="75">
      <c r="A75" s="13"/>
      <c r="B75" s="13"/>
      <c r="C75" s="13"/>
      <c r="D75" s="13"/>
      <c r="E75" s="42" t="s">
        <v>63</v>
      </c>
      <c r="F75" s="43">
        <f>(J75*I75)+(I76*J76)</f>
        <v>0.004</v>
      </c>
      <c r="G75" s="43">
        <v>0.4</v>
      </c>
      <c r="H75" s="44" t="s">
        <v>64</v>
      </c>
      <c r="I75" s="45">
        <v>0.0</v>
      </c>
      <c r="J75" s="47">
        <v>0.6</v>
      </c>
      <c r="K75" s="13"/>
    </row>
    <row r="76">
      <c r="A76" s="15"/>
      <c r="B76" s="15"/>
      <c r="C76" s="15"/>
      <c r="D76" s="15"/>
      <c r="E76" s="15"/>
      <c r="F76" s="15"/>
      <c r="G76" s="15"/>
      <c r="H76" s="44" t="s">
        <v>65</v>
      </c>
      <c r="I76" s="45">
        <f>1/100</f>
        <v>0.01</v>
      </c>
      <c r="J76" s="47">
        <v>0.4</v>
      </c>
      <c r="K76" s="15"/>
    </row>
    <row r="77">
      <c r="B77" s="69"/>
    </row>
    <row r="78">
      <c r="A78" s="70" t="s">
        <v>84</v>
      </c>
      <c r="B78" s="63" t="s">
        <v>12</v>
      </c>
      <c r="C78" s="7">
        <f>(G78*F78)+(G82*F82)+(G84*F84)+(G87*F87)</f>
        <v>0.6210415</v>
      </c>
      <c r="D78" s="7">
        <v>0.3</v>
      </c>
      <c r="E78" s="6" t="s">
        <v>13</v>
      </c>
      <c r="F78" s="7">
        <f>(J78*I78)+(J79*I79)+(J80*I80)+(J81*I81)</f>
        <v>0.56125</v>
      </c>
      <c r="G78" s="7">
        <v>0.3</v>
      </c>
      <c r="H78" s="8" t="s">
        <v>14</v>
      </c>
      <c r="I78" s="9">
        <v>0.46</v>
      </c>
      <c r="J78" s="10">
        <v>0.15</v>
      </c>
      <c r="K78" s="11">
        <f>(C78*D78)+(C89*D89)+(C100*D100)+(C104*D104)+(C111*D111)</f>
        <v>0.6524162</v>
      </c>
    </row>
    <row r="79">
      <c r="A79" s="13"/>
      <c r="B79" s="13"/>
      <c r="C79" s="13"/>
      <c r="D79" s="13"/>
      <c r="E79" s="13"/>
      <c r="F79" s="13"/>
      <c r="G79" s="13"/>
      <c r="H79" s="8" t="s">
        <v>15</v>
      </c>
      <c r="I79" s="9">
        <v>0.56</v>
      </c>
      <c r="J79" s="10">
        <v>0.5</v>
      </c>
      <c r="K79" s="13"/>
    </row>
    <row r="80">
      <c r="A80" s="13"/>
      <c r="B80" s="13"/>
      <c r="C80" s="13"/>
      <c r="D80" s="13"/>
      <c r="E80" s="13"/>
      <c r="F80" s="13"/>
      <c r="G80" s="13"/>
      <c r="H80" s="8" t="s">
        <v>16</v>
      </c>
      <c r="I80" s="14">
        <f>7.35/10</f>
        <v>0.735</v>
      </c>
      <c r="J80" s="10">
        <v>0.15</v>
      </c>
      <c r="K80" s="13"/>
    </row>
    <row r="81">
      <c r="A81" s="13"/>
      <c r="B81" s="13"/>
      <c r="C81" s="13"/>
      <c r="D81" s="13"/>
      <c r="E81" s="15"/>
      <c r="F81" s="15"/>
      <c r="G81" s="15"/>
      <c r="H81" s="8" t="s">
        <v>17</v>
      </c>
      <c r="I81" s="9">
        <v>0.51</v>
      </c>
      <c r="J81" s="10">
        <v>0.2</v>
      </c>
      <c r="K81" s="13"/>
    </row>
    <row r="82">
      <c r="A82" s="13"/>
      <c r="B82" s="13"/>
      <c r="C82" s="13"/>
      <c r="D82" s="13"/>
      <c r="E82" s="6" t="s">
        <v>18</v>
      </c>
      <c r="F82" s="7">
        <f>(J82*I82)+(I83*J83)</f>
        <v>0.69625</v>
      </c>
      <c r="G82" s="7">
        <v>0.25</v>
      </c>
      <c r="H82" s="8" t="s">
        <v>19</v>
      </c>
      <c r="I82" s="9">
        <v>0.7</v>
      </c>
      <c r="J82" s="10">
        <v>0.7</v>
      </c>
      <c r="K82" s="13"/>
    </row>
    <row r="83">
      <c r="A83" s="13"/>
      <c r="B83" s="13"/>
      <c r="C83" s="13"/>
      <c r="D83" s="13"/>
      <c r="E83" s="15"/>
      <c r="F83" s="15"/>
      <c r="G83" s="15"/>
      <c r="H83" s="8" t="s">
        <v>20</v>
      </c>
      <c r="I83" s="9">
        <f>2.75/4</f>
        <v>0.6875</v>
      </c>
      <c r="J83" s="10">
        <v>0.3</v>
      </c>
      <c r="K83" s="13"/>
    </row>
    <row r="84">
      <c r="A84" s="13"/>
      <c r="B84" s="13"/>
      <c r="C84" s="13"/>
      <c r="D84" s="13"/>
      <c r="E84" s="6" t="s">
        <v>21</v>
      </c>
      <c r="F84" s="7">
        <f>(J84*I84)+(I85*J85)+(I86*J86)</f>
        <v>0.58518</v>
      </c>
      <c r="G84" s="7">
        <v>0.3</v>
      </c>
      <c r="H84" s="8" t="s">
        <v>22</v>
      </c>
      <c r="I84" s="14">
        <f>42.48/100</f>
        <v>0.4248</v>
      </c>
      <c r="J84" s="10">
        <v>0.35</v>
      </c>
      <c r="K84" s="13"/>
    </row>
    <row r="85">
      <c r="A85" s="13"/>
      <c r="B85" s="13"/>
      <c r="C85" s="13"/>
      <c r="D85" s="13"/>
      <c r="E85" s="13"/>
      <c r="F85" s="13"/>
      <c r="G85" s="13"/>
      <c r="H85" s="8" t="s">
        <v>23</v>
      </c>
      <c r="I85" s="9">
        <v>0.37</v>
      </c>
      <c r="J85" s="10">
        <v>0.3</v>
      </c>
      <c r="K85" s="13"/>
    </row>
    <row r="86">
      <c r="A86" s="13"/>
      <c r="B86" s="13"/>
      <c r="C86" s="13"/>
      <c r="D86" s="13"/>
      <c r="E86" s="15"/>
      <c r="F86" s="15"/>
      <c r="G86" s="15"/>
      <c r="H86" s="8" t="s">
        <v>24</v>
      </c>
      <c r="I86" s="9">
        <v>0.93</v>
      </c>
      <c r="J86" s="10">
        <v>0.35</v>
      </c>
      <c r="K86" s="13"/>
    </row>
    <row r="87">
      <c r="A87" s="13"/>
      <c r="B87" s="13"/>
      <c r="C87" s="13"/>
      <c r="D87" s="13"/>
      <c r="E87" s="6" t="s">
        <v>25</v>
      </c>
      <c r="F87" s="7">
        <f>(J87*I87)+(I88*J88)</f>
        <v>0.687</v>
      </c>
      <c r="G87" s="7">
        <v>0.15</v>
      </c>
      <c r="H87" s="8" t="s">
        <v>26</v>
      </c>
      <c r="I87" s="9">
        <v>0.58</v>
      </c>
      <c r="J87" s="10">
        <v>0.6</v>
      </c>
      <c r="K87" s="13"/>
    </row>
    <row r="88">
      <c r="A88" s="13"/>
      <c r="B88" s="15"/>
      <c r="C88" s="15"/>
      <c r="D88" s="15"/>
      <c r="E88" s="15"/>
      <c r="F88" s="15"/>
      <c r="G88" s="15"/>
      <c r="H88" s="16" t="s">
        <v>27</v>
      </c>
      <c r="I88" s="14">
        <f>3.39/4</f>
        <v>0.8475</v>
      </c>
      <c r="J88" s="17">
        <v>0.4</v>
      </c>
      <c r="K88" s="13"/>
    </row>
    <row r="89">
      <c r="A89" s="13"/>
      <c r="B89" s="64" t="s">
        <v>28</v>
      </c>
      <c r="C89" s="19">
        <f>(G89*F89)+(F93*G93)+(F97*G97)</f>
        <v>0.5922125</v>
      </c>
      <c r="D89" s="19">
        <v>0.2</v>
      </c>
      <c r="E89" s="20" t="s">
        <v>29</v>
      </c>
      <c r="F89" s="19">
        <f>(J89*I89)+(J90*I90)+(J91*I91)+(J92*I92)</f>
        <v>0.374</v>
      </c>
      <c r="G89" s="19">
        <v>0.35</v>
      </c>
      <c r="H89" s="21" t="s">
        <v>30</v>
      </c>
      <c r="I89" s="22">
        <v>0.6</v>
      </c>
      <c r="J89" s="23">
        <v>0.3</v>
      </c>
      <c r="K89" s="13"/>
    </row>
    <row r="90">
      <c r="A90" s="13"/>
      <c r="B90" s="13"/>
      <c r="C90" s="13"/>
      <c r="D90" s="13"/>
      <c r="E90" s="13"/>
      <c r="F90" s="13"/>
      <c r="G90" s="13"/>
      <c r="H90" s="21" t="s">
        <v>31</v>
      </c>
      <c r="I90" s="24">
        <f>1.19/4</f>
        <v>0.2975</v>
      </c>
      <c r="J90" s="23">
        <v>0.2</v>
      </c>
      <c r="K90" s="13"/>
    </row>
    <row r="91">
      <c r="A91" s="13"/>
      <c r="B91" s="13"/>
      <c r="C91" s="13"/>
      <c r="D91" s="13"/>
      <c r="E91" s="13"/>
      <c r="F91" s="13"/>
      <c r="G91" s="13"/>
      <c r="H91" s="21" t="s">
        <v>32</v>
      </c>
      <c r="I91" s="22">
        <f>0.98/4</f>
        <v>0.245</v>
      </c>
      <c r="J91" s="23">
        <v>0.2</v>
      </c>
      <c r="K91" s="13"/>
    </row>
    <row r="92">
      <c r="A92" s="13"/>
      <c r="B92" s="13"/>
      <c r="C92" s="13"/>
      <c r="D92" s="13"/>
      <c r="E92" s="15"/>
      <c r="F92" s="15"/>
      <c r="G92" s="15"/>
      <c r="H92" s="21" t="s">
        <v>33</v>
      </c>
      <c r="I92" s="22">
        <f>1.14/4</f>
        <v>0.285</v>
      </c>
      <c r="J92" s="23">
        <v>0.3</v>
      </c>
      <c r="K92" s="13"/>
    </row>
    <row r="93">
      <c r="A93" s="13"/>
      <c r="B93" s="13"/>
      <c r="C93" s="13"/>
      <c r="D93" s="13"/>
      <c r="E93" s="25" t="s">
        <v>34</v>
      </c>
      <c r="F93" s="19">
        <f>(J93*I93)+(J94*I94)+(J95*I95)+(J96*I96)</f>
        <v>0.7725</v>
      </c>
      <c r="G93" s="19">
        <v>0.4</v>
      </c>
      <c r="H93" s="21" t="s">
        <v>35</v>
      </c>
      <c r="I93" s="22">
        <v>0.776</v>
      </c>
      <c r="J93" s="23">
        <v>0.5</v>
      </c>
      <c r="K93" s="13"/>
    </row>
    <row r="94">
      <c r="A94" s="13"/>
      <c r="B94" s="13"/>
      <c r="C94" s="13"/>
      <c r="D94" s="13"/>
      <c r="E94" s="13"/>
      <c r="F94" s="13"/>
      <c r="G94" s="13"/>
      <c r="H94" s="21" t="s">
        <v>36</v>
      </c>
      <c r="I94" s="22">
        <f>(100-28)/100</f>
        <v>0.72</v>
      </c>
      <c r="J94" s="23">
        <v>0.3</v>
      </c>
      <c r="K94" s="13"/>
    </row>
    <row r="95">
      <c r="A95" s="13"/>
      <c r="B95" s="13"/>
      <c r="C95" s="13"/>
      <c r="D95" s="13"/>
      <c r="E95" s="13"/>
      <c r="F95" s="13"/>
      <c r="G95" s="13"/>
      <c r="H95" s="26" t="s">
        <v>37</v>
      </c>
      <c r="I95" s="27">
        <f>3.37/4</f>
        <v>0.8425</v>
      </c>
      <c r="J95" s="19">
        <v>0.2</v>
      </c>
      <c r="K95" s="13"/>
    </row>
    <row r="96">
      <c r="A96" s="13"/>
      <c r="B96" s="13"/>
      <c r="C96" s="13"/>
      <c r="D96" s="13"/>
      <c r="E96" s="15"/>
      <c r="F96" s="15"/>
      <c r="G96" s="15"/>
      <c r="H96" s="15"/>
      <c r="I96" s="15"/>
      <c r="J96" s="15"/>
      <c r="K96" s="13"/>
    </row>
    <row r="97">
      <c r="A97" s="13"/>
      <c r="B97" s="13"/>
      <c r="C97" s="13"/>
      <c r="D97" s="13"/>
      <c r="E97" s="25" t="s">
        <v>38</v>
      </c>
      <c r="F97" s="19">
        <f>(J97*I97)+(I98*J98)+(I99*J99)</f>
        <v>0.60925</v>
      </c>
      <c r="G97" s="19">
        <v>0.25</v>
      </c>
      <c r="H97" s="21" t="s">
        <v>39</v>
      </c>
      <c r="I97" s="24">
        <f>(100-39)/100</f>
        <v>0.61</v>
      </c>
      <c r="J97" s="23">
        <v>0.25</v>
      </c>
      <c r="K97" s="13"/>
    </row>
    <row r="98">
      <c r="A98" s="13"/>
      <c r="B98" s="13"/>
      <c r="C98" s="13"/>
      <c r="D98" s="13"/>
      <c r="E98" s="13"/>
      <c r="F98" s="13"/>
      <c r="G98" s="13"/>
      <c r="H98" s="21" t="s">
        <v>40</v>
      </c>
      <c r="I98" s="22">
        <f>2/4</f>
        <v>0.5</v>
      </c>
      <c r="J98" s="23">
        <v>0.5</v>
      </c>
      <c r="K98" s="13"/>
    </row>
    <row r="99">
      <c r="A99" s="13"/>
      <c r="B99" s="15"/>
      <c r="C99" s="15"/>
      <c r="D99" s="15"/>
      <c r="E99" s="15"/>
      <c r="F99" s="15"/>
      <c r="G99" s="15"/>
      <c r="H99" s="21" t="s">
        <v>41</v>
      </c>
      <c r="I99" s="24">
        <f>(100-17.3)/100</f>
        <v>0.827</v>
      </c>
      <c r="J99" s="23">
        <v>0.25</v>
      </c>
      <c r="K99" s="13"/>
    </row>
    <row r="100">
      <c r="A100" s="13"/>
      <c r="B100" s="65" t="s">
        <v>42</v>
      </c>
      <c r="C100" s="29">
        <f>(G100*F100)+(F102*G102)</f>
        <v>0.8204</v>
      </c>
      <c r="D100" s="29">
        <v>0.2</v>
      </c>
      <c r="E100" s="30" t="s">
        <v>43</v>
      </c>
      <c r="F100" s="29">
        <f>(J100*I100)+(I101*J101)</f>
        <v>0.9186666667</v>
      </c>
      <c r="G100" s="29">
        <v>0.45</v>
      </c>
      <c r="H100" s="31" t="s">
        <v>44</v>
      </c>
      <c r="I100" s="32">
        <v>0.92</v>
      </c>
      <c r="J100" s="33">
        <v>0.6</v>
      </c>
      <c r="K100" s="13"/>
    </row>
    <row r="101">
      <c r="A101" s="13"/>
      <c r="B101" s="13"/>
      <c r="C101" s="13"/>
      <c r="D101" s="13"/>
      <c r="E101" s="15"/>
      <c r="F101" s="15"/>
      <c r="G101" s="15"/>
      <c r="H101" s="31" t="s">
        <v>45</v>
      </c>
      <c r="I101" s="34">
        <f>2.75/3</f>
        <v>0.9166666667</v>
      </c>
      <c r="J101" s="33">
        <v>0.4</v>
      </c>
      <c r="K101" s="13"/>
    </row>
    <row r="102">
      <c r="A102" s="13"/>
      <c r="B102" s="13"/>
      <c r="C102" s="13"/>
      <c r="D102" s="13"/>
      <c r="E102" s="30" t="s">
        <v>46</v>
      </c>
      <c r="F102" s="29">
        <f>(J102*I102)+(I103*J103)</f>
        <v>0.74</v>
      </c>
      <c r="G102" s="29">
        <v>0.55</v>
      </c>
      <c r="H102" s="31" t="s">
        <v>47</v>
      </c>
      <c r="I102" s="32">
        <f>7/10</f>
        <v>0.7</v>
      </c>
      <c r="J102" s="33">
        <v>0.6</v>
      </c>
      <c r="K102" s="13"/>
    </row>
    <row r="103">
      <c r="A103" s="13"/>
      <c r="B103" s="15"/>
      <c r="C103" s="15"/>
      <c r="D103" s="15"/>
      <c r="E103" s="15"/>
      <c r="F103" s="15"/>
      <c r="G103" s="15"/>
      <c r="H103" s="31" t="s">
        <v>48</v>
      </c>
      <c r="I103" s="32">
        <v>0.8</v>
      </c>
      <c r="J103" s="33">
        <v>0.4</v>
      </c>
      <c r="K103" s="13"/>
    </row>
    <row r="104">
      <c r="A104" s="13"/>
      <c r="B104" s="66" t="s">
        <v>49</v>
      </c>
      <c r="C104" s="36">
        <f>(F104*G104)+(F108*G108)</f>
        <v>0.87870625</v>
      </c>
      <c r="D104" s="36">
        <v>0.2</v>
      </c>
      <c r="E104" s="37" t="s">
        <v>50</v>
      </c>
      <c r="F104" s="36">
        <f>(J104*I104)+(J105*I105)+(J106*I106)+(J107*I107)</f>
        <v>0.865375</v>
      </c>
      <c r="G104" s="36">
        <v>0.55</v>
      </c>
      <c r="H104" s="38" t="s">
        <v>51</v>
      </c>
      <c r="I104" s="39">
        <v>0.77</v>
      </c>
      <c r="J104" s="40">
        <v>0.35</v>
      </c>
      <c r="K104" s="13"/>
    </row>
    <row r="105">
      <c r="A105" s="13"/>
      <c r="B105" s="13"/>
      <c r="C105" s="13"/>
      <c r="D105" s="13"/>
      <c r="E105" s="13"/>
      <c r="F105" s="13"/>
      <c r="G105" s="13"/>
      <c r="H105" s="38" t="s">
        <v>52</v>
      </c>
      <c r="I105" s="41">
        <f>3.63/4</f>
        <v>0.9075</v>
      </c>
      <c r="J105" s="40">
        <v>0.35</v>
      </c>
      <c r="K105" s="13"/>
    </row>
    <row r="106">
      <c r="A106" s="13"/>
      <c r="B106" s="13"/>
      <c r="C106" s="13"/>
      <c r="D106" s="13"/>
      <c r="E106" s="13"/>
      <c r="F106" s="13"/>
      <c r="G106" s="13"/>
      <c r="H106" s="38" t="s">
        <v>53</v>
      </c>
      <c r="I106" s="41">
        <f>3.42/4</f>
        <v>0.855</v>
      </c>
      <c r="J106" s="40">
        <v>0.15</v>
      </c>
      <c r="K106" s="13"/>
    </row>
    <row r="107">
      <c r="A107" s="13"/>
      <c r="B107" s="13"/>
      <c r="C107" s="13"/>
      <c r="D107" s="13"/>
      <c r="E107" s="15"/>
      <c r="F107" s="15"/>
      <c r="G107" s="15"/>
      <c r="H107" s="38" t="s">
        <v>54</v>
      </c>
      <c r="I107" s="39">
        <v>1.0</v>
      </c>
      <c r="J107" s="40">
        <v>0.15</v>
      </c>
      <c r="K107" s="13"/>
    </row>
    <row r="108">
      <c r="A108" s="13"/>
      <c r="B108" s="13"/>
      <c r="C108" s="13"/>
      <c r="D108" s="13"/>
      <c r="E108" s="35" t="s">
        <v>55</v>
      </c>
      <c r="F108" s="36">
        <f>(J108*I108)+(I109*J109)+(I110*J110)</f>
        <v>0.895</v>
      </c>
      <c r="G108" s="36">
        <v>0.45</v>
      </c>
      <c r="H108" s="38" t="s">
        <v>56</v>
      </c>
      <c r="I108" s="39">
        <f>3.23/4</f>
        <v>0.8075</v>
      </c>
      <c r="J108" s="40">
        <v>0.3</v>
      </c>
      <c r="K108" s="13"/>
    </row>
    <row r="109">
      <c r="A109" s="13"/>
      <c r="B109" s="13"/>
      <c r="C109" s="13"/>
      <c r="D109" s="13"/>
      <c r="E109" s="13"/>
      <c r="F109" s="13"/>
      <c r="G109" s="13"/>
      <c r="H109" s="38" t="s">
        <v>57</v>
      </c>
      <c r="I109" s="41">
        <f>3.89/4</f>
        <v>0.9725</v>
      </c>
      <c r="J109" s="40">
        <v>0.3</v>
      </c>
      <c r="K109" s="13"/>
    </row>
    <row r="110">
      <c r="A110" s="13"/>
      <c r="B110" s="15"/>
      <c r="C110" s="15"/>
      <c r="D110" s="15"/>
      <c r="E110" s="15"/>
      <c r="F110" s="15"/>
      <c r="G110" s="15"/>
      <c r="H110" s="38" t="s">
        <v>58</v>
      </c>
      <c r="I110" s="41">
        <f>3.61/4</f>
        <v>0.9025</v>
      </c>
      <c r="J110" s="40">
        <v>0.4</v>
      </c>
      <c r="K110" s="13"/>
    </row>
    <row r="111">
      <c r="A111" s="13"/>
      <c r="B111" s="67" t="s">
        <v>59</v>
      </c>
      <c r="C111" s="43">
        <f>(F111*G111)+(F113*G113)</f>
        <v>0.0784</v>
      </c>
      <c r="D111" s="43">
        <v>0.1</v>
      </c>
      <c r="E111" s="42" t="s">
        <v>60</v>
      </c>
      <c r="F111" s="43">
        <f>(J111*I111)+(I112*J112)</f>
        <v>0</v>
      </c>
      <c r="G111" s="43">
        <v>0.6</v>
      </c>
      <c r="H111" s="44" t="s">
        <v>61</v>
      </c>
      <c r="I111" s="45">
        <v>0.0</v>
      </c>
      <c r="J111" s="46">
        <v>0.5</v>
      </c>
      <c r="K111" s="13"/>
    </row>
    <row r="112">
      <c r="A112" s="13"/>
      <c r="B112" s="13"/>
      <c r="C112" s="13"/>
      <c r="D112" s="13"/>
      <c r="E112" s="15"/>
      <c r="F112" s="15"/>
      <c r="G112" s="15"/>
      <c r="H112" s="44" t="s">
        <v>62</v>
      </c>
      <c r="I112" s="68">
        <v>0.0</v>
      </c>
      <c r="J112" s="46">
        <v>0.5</v>
      </c>
      <c r="K112" s="13"/>
    </row>
    <row r="113">
      <c r="A113" s="13"/>
      <c r="B113" s="13"/>
      <c r="C113" s="13"/>
      <c r="D113" s="13"/>
      <c r="E113" s="42" t="s">
        <v>63</v>
      </c>
      <c r="F113" s="43">
        <f>(J113*I113)+(I114*J114)</f>
        <v>0.196</v>
      </c>
      <c r="G113" s="43">
        <v>0.4</v>
      </c>
      <c r="H113" s="44" t="s">
        <v>64</v>
      </c>
      <c r="I113" s="45">
        <v>0.0</v>
      </c>
      <c r="J113" s="47">
        <v>0.6</v>
      </c>
      <c r="K113" s="13"/>
    </row>
    <row r="114">
      <c r="A114" s="15"/>
      <c r="B114" s="15"/>
      <c r="C114" s="15"/>
      <c r="D114" s="15"/>
      <c r="E114" s="15"/>
      <c r="F114" s="15"/>
      <c r="G114" s="15"/>
      <c r="H114" s="44" t="s">
        <v>65</v>
      </c>
      <c r="I114" s="45">
        <f>49/100</f>
        <v>0.49</v>
      </c>
      <c r="J114" s="47">
        <v>0.4</v>
      </c>
      <c r="K114" s="15"/>
    </row>
    <row r="115">
      <c r="B115" s="69"/>
    </row>
    <row r="116">
      <c r="A116" s="5" t="s">
        <v>85</v>
      </c>
      <c r="B116" s="63" t="s">
        <v>12</v>
      </c>
      <c r="C116" s="7">
        <f>(G116*F116)+(G120*F120)+(G122*F122)+(G125*F125)</f>
        <v>0.263139</v>
      </c>
      <c r="D116" s="7">
        <v>0.3</v>
      </c>
      <c r="E116" s="6" t="s">
        <v>13</v>
      </c>
      <c r="F116" s="7">
        <f>(J116*I116)+(J117*I117)+(J118*I118)+(J119*I119)</f>
        <v>0.163</v>
      </c>
      <c r="G116" s="7">
        <v>0.3</v>
      </c>
      <c r="H116" s="8" t="s">
        <v>14</v>
      </c>
      <c r="I116" s="9">
        <v>0.2</v>
      </c>
      <c r="J116" s="10">
        <v>0.15</v>
      </c>
      <c r="K116" s="11">
        <f>(C116*D116)+(C127*D127)+(C138*D138)+(C142*D142)+(C149*D149)</f>
        <v>0.4174542</v>
      </c>
    </row>
    <row r="117">
      <c r="A117" s="13"/>
      <c r="B117" s="13"/>
      <c r="C117" s="13"/>
      <c r="D117" s="13"/>
      <c r="E117" s="13"/>
      <c r="F117" s="13"/>
      <c r="G117" s="13"/>
      <c r="H117" s="8" t="s">
        <v>15</v>
      </c>
      <c r="I117" s="9">
        <v>0.08</v>
      </c>
      <c r="J117" s="10">
        <v>0.5</v>
      </c>
      <c r="K117" s="13"/>
    </row>
    <row r="118">
      <c r="A118" s="13"/>
      <c r="B118" s="13"/>
      <c r="C118" s="13"/>
      <c r="D118" s="13"/>
      <c r="E118" s="13"/>
      <c r="F118" s="13"/>
      <c r="G118" s="13"/>
      <c r="H118" s="8" t="s">
        <v>16</v>
      </c>
      <c r="I118" s="14">
        <v>0.5</v>
      </c>
      <c r="J118" s="10">
        <v>0.15</v>
      </c>
      <c r="K118" s="13"/>
    </row>
    <row r="119">
      <c r="A119" s="13"/>
      <c r="B119" s="13"/>
      <c r="C119" s="13"/>
      <c r="D119" s="13"/>
      <c r="E119" s="15"/>
      <c r="F119" s="15"/>
      <c r="G119" s="15"/>
      <c r="H119" s="8" t="s">
        <v>17</v>
      </c>
      <c r="I119" s="9">
        <v>0.09</v>
      </c>
      <c r="J119" s="10">
        <v>0.2</v>
      </c>
      <c r="K119" s="13"/>
    </row>
    <row r="120">
      <c r="A120" s="13"/>
      <c r="B120" s="13"/>
      <c r="C120" s="13"/>
      <c r="D120" s="13"/>
      <c r="E120" s="6" t="s">
        <v>18</v>
      </c>
      <c r="F120" s="7">
        <f>(J120*I120)+(I121*J121)</f>
        <v>0.219</v>
      </c>
      <c r="G120" s="7">
        <v>0.25</v>
      </c>
      <c r="H120" s="8" t="s">
        <v>19</v>
      </c>
      <c r="I120" s="9">
        <v>0.3</v>
      </c>
      <c r="J120" s="10">
        <v>0.7</v>
      </c>
      <c r="K120" s="13"/>
    </row>
    <row r="121">
      <c r="A121" s="13"/>
      <c r="B121" s="13"/>
      <c r="C121" s="13"/>
      <c r="D121" s="13"/>
      <c r="E121" s="15"/>
      <c r="F121" s="15"/>
      <c r="G121" s="15"/>
      <c r="H121" s="8" t="s">
        <v>20</v>
      </c>
      <c r="I121" s="9">
        <f>0.12/4</f>
        <v>0.03</v>
      </c>
      <c r="J121" s="10">
        <v>0.3</v>
      </c>
      <c r="K121" s="13"/>
    </row>
    <row r="122">
      <c r="A122" s="13"/>
      <c r="B122" s="13"/>
      <c r="C122" s="13"/>
      <c r="D122" s="13"/>
      <c r="E122" s="6" t="s">
        <v>21</v>
      </c>
      <c r="F122" s="7">
        <f>(J122*I122)+(I123*J123)+(I124*J124)</f>
        <v>0.37313</v>
      </c>
      <c r="G122" s="7">
        <v>0.3</v>
      </c>
      <c r="H122" s="8" t="s">
        <v>22</v>
      </c>
      <c r="I122" s="14">
        <f>36.18/100</f>
        <v>0.3618</v>
      </c>
      <c r="J122" s="10">
        <v>0.35</v>
      </c>
      <c r="K122" s="13"/>
    </row>
    <row r="123">
      <c r="A123" s="13"/>
      <c r="B123" s="13"/>
      <c r="C123" s="13"/>
      <c r="D123" s="13"/>
      <c r="E123" s="13"/>
      <c r="F123" s="13"/>
      <c r="G123" s="13"/>
      <c r="H123" s="8" t="s">
        <v>23</v>
      </c>
      <c r="I123" s="9">
        <v>0.32</v>
      </c>
      <c r="J123" s="10">
        <v>0.3</v>
      </c>
      <c r="K123" s="13"/>
    </row>
    <row r="124">
      <c r="A124" s="13"/>
      <c r="B124" s="13"/>
      <c r="C124" s="13"/>
      <c r="D124" s="13"/>
      <c r="E124" s="15"/>
      <c r="F124" s="15"/>
      <c r="G124" s="15"/>
      <c r="H124" s="8" t="s">
        <v>24</v>
      </c>
      <c r="I124" s="9">
        <v>0.43</v>
      </c>
      <c r="J124" s="10">
        <v>0.35</v>
      </c>
      <c r="K124" s="13"/>
    </row>
    <row r="125">
      <c r="A125" s="13"/>
      <c r="B125" s="13"/>
      <c r="C125" s="13"/>
      <c r="D125" s="13"/>
      <c r="E125" s="6" t="s">
        <v>25</v>
      </c>
      <c r="F125" s="7">
        <f>(J125*I125)+(I126*J126)</f>
        <v>0.317</v>
      </c>
      <c r="G125" s="7">
        <v>0.15</v>
      </c>
      <c r="H125" s="8" t="s">
        <v>26</v>
      </c>
      <c r="I125" s="9">
        <v>0.42</v>
      </c>
      <c r="J125" s="10">
        <v>0.6</v>
      </c>
      <c r="K125" s="13"/>
    </row>
    <row r="126">
      <c r="A126" s="13"/>
      <c r="B126" s="15"/>
      <c r="C126" s="15"/>
      <c r="D126" s="15"/>
      <c r="E126" s="15"/>
      <c r="F126" s="15"/>
      <c r="G126" s="15"/>
      <c r="H126" s="16" t="s">
        <v>27</v>
      </c>
      <c r="I126" s="14">
        <f>0.65/4</f>
        <v>0.1625</v>
      </c>
      <c r="J126" s="17">
        <v>0.4</v>
      </c>
      <c r="K126" s="13"/>
    </row>
    <row r="127">
      <c r="A127" s="13"/>
      <c r="B127" s="64" t="s">
        <v>28</v>
      </c>
      <c r="C127" s="19">
        <f>(G127*F127)+(F131*G131)+(F135*G135)</f>
        <v>0.4983</v>
      </c>
      <c r="D127" s="19">
        <v>0.2</v>
      </c>
      <c r="E127" s="20" t="s">
        <v>29</v>
      </c>
      <c r="F127" s="19">
        <f>(J127*I127)+(J128*I128)+(J129*I129)+(J130*I130)</f>
        <v>0.24025</v>
      </c>
      <c r="G127" s="19">
        <v>0.35</v>
      </c>
      <c r="H127" s="21" t="s">
        <v>30</v>
      </c>
      <c r="I127" s="22">
        <v>0.5</v>
      </c>
      <c r="J127" s="23">
        <v>0.3</v>
      </c>
      <c r="K127" s="13"/>
    </row>
    <row r="128">
      <c r="A128" s="13"/>
      <c r="B128" s="13"/>
      <c r="C128" s="13"/>
      <c r="D128" s="13"/>
      <c r="E128" s="13"/>
      <c r="F128" s="13"/>
      <c r="G128" s="13"/>
      <c r="H128" s="21" t="s">
        <v>31</v>
      </c>
      <c r="I128" s="24">
        <f>0.43/4</f>
        <v>0.1075</v>
      </c>
      <c r="J128" s="23">
        <v>0.2</v>
      </c>
      <c r="K128" s="13"/>
    </row>
    <row r="129">
      <c r="A129" s="13"/>
      <c r="B129" s="13"/>
      <c r="C129" s="13"/>
      <c r="D129" s="13"/>
      <c r="E129" s="13"/>
      <c r="F129" s="13"/>
      <c r="G129" s="13"/>
      <c r="H129" s="21" t="s">
        <v>32</v>
      </c>
      <c r="I129" s="22">
        <f>0.7/4</f>
        <v>0.175</v>
      </c>
      <c r="J129" s="23">
        <v>0.2</v>
      </c>
      <c r="K129" s="13"/>
    </row>
    <row r="130">
      <c r="A130" s="13"/>
      <c r="B130" s="13"/>
      <c r="C130" s="13"/>
      <c r="D130" s="13"/>
      <c r="E130" s="15"/>
      <c r="F130" s="15"/>
      <c r="G130" s="15"/>
      <c r="H130" s="21" t="s">
        <v>33</v>
      </c>
      <c r="I130" s="22">
        <f>0.45/4</f>
        <v>0.1125</v>
      </c>
      <c r="J130" s="23">
        <v>0.3</v>
      </c>
      <c r="K130" s="13"/>
    </row>
    <row r="131">
      <c r="A131" s="13"/>
      <c r="B131" s="13"/>
      <c r="C131" s="13"/>
      <c r="D131" s="13"/>
      <c r="E131" s="25" t="s">
        <v>34</v>
      </c>
      <c r="F131" s="19">
        <f>(J131*I131)+(J132*I132)+(J133*I133)+(J134*I134)</f>
        <v>0.691</v>
      </c>
      <c r="G131" s="19">
        <v>0.4</v>
      </c>
      <c r="H131" s="21" t="s">
        <v>35</v>
      </c>
      <c r="I131" s="22">
        <v>0.678</v>
      </c>
      <c r="J131" s="23">
        <v>0.5</v>
      </c>
      <c r="K131" s="13"/>
    </row>
    <row r="132">
      <c r="A132" s="13"/>
      <c r="B132" s="13"/>
      <c r="C132" s="13"/>
      <c r="D132" s="13"/>
      <c r="E132" s="13"/>
      <c r="F132" s="13"/>
      <c r="G132" s="13"/>
      <c r="H132" s="21" t="s">
        <v>36</v>
      </c>
      <c r="I132" s="22">
        <f>(100-9)/100</f>
        <v>0.91</v>
      </c>
      <c r="J132" s="23">
        <v>0.3</v>
      </c>
      <c r="K132" s="13"/>
    </row>
    <row r="133">
      <c r="A133" s="13"/>
      <c r="B133" s="13"/>
      <c r="C133" s="13"/>
      <c r="D133" s="13"/>
      <c r="E133" s="13"/>
      <c r="F133" s="13"/>
      <c r="G133" s="13"/>
      <c r="H133" s="26" t="s">
        <v>37</v>
      </c>
      <c r="I133" s="27">
        <f>1.58/4</f>
        <v>0.395</v>
      </c>
      <c r="J133" s="19">
        <v>0.2</v>
      </c>
      <c r="K133" s="13"/>
    </row>
    <row r="134">
      <c r="A134" s="13"/>
      <c r="B134" s="13"/>
      <c r="C134" s="13"/>
      <c r="D134" s="13"/>
      <c r="E134" s="15"/>
      <c r="F134" s="15"/>
      <c r="G134" s="15"/>
      <c r="H134" s="15"/>
      <c r="I134" s="15"/>
      <c r="J134" s="15"/>
      <c r="K134" s="13"/>
    </row>
    <row r="135">
      <c r="A135" s="13"/>
      <c r="B135" s="13"/>
      <c r="C135" s="13"/>
      <c r="D135" s="13"/>
      <c r="E135" s="25" t="s">
        <v>38</v>
      </c>
      <c r="F135" s="19">
        <f>(J135*I135)+(I136*J136)+(I137*J137)</f>
        <v>0.55125</v>
      </c>
      <c r="G135" s="19">
        <v>0.25</v>
      </c>
      <c r="H135" s="21" t="s">
        <v>39</v>
      </c>
      <c r="I135" s="24">
        <f>(100-39.8)/100</f>
        <v>0.602</v>
      </c>
      <c r="J135" s="23">
        <v>0.25</v>
      </c>
      <c r="K135" s="13"/>
    </row>
    <row r="136">
      <c r="A136" s="13"/>
      <c r="B136" s="13"/>
      <c r="C136" s="13"/>
      <c r="D136" s="13"/>
      <c r="E136" s="13"/>
      <c r="F136" s="13"/>
      <c r="G136" s="13"/>
      <c r="H136" s="21" t="s">
        <v>40</v>
      </c>
      <c r="I136" s="22">
        <f>1.75/4</f>
        <v>0.4375</v>
      </c>
      <c r="J136" s="23">
        <v>0.5</v>
      </c>
      <c r="K136" s="13"/>
    </row>
    <row r="137">
      <c r="A137" s="13"/>
      <c r="B137" s="15"/>
      <c r="C137" s="15"/>
      <c r="D137" s="15"/>
      <c r="E137" s="15"/>
      <c r="F137" s="15"/>
      <c r="G137" s="15"/>
      <c r="H137" s="21" t="s">
        <v>41</v>
      </c>
      <c r="I137" s="24">
        <f>(100-27.2)/100</f>
        <v>0.728</v>
      </c>
      <c r="J137" s="23">
        <v>0.25</v>
      </c>
      <c r="K137" s="13"/>
    </row>
    <row r="138">
      <c r="A138" s="13"/>
      <c r="B138" s="65" t="s">
        <v>42</v>
      </c>
      <c r="C138" s="29">
        <f>(G138*F138)+(F140*G140)</f>
        <v>0.3018</v>
      </c>
      <c r="D138" s="29">
        <v>0.2</v>
      </c>
      <c r="E138" s="30" t="s">
        <v>43</v>
      </c>
      <c r="F138" s="29">
        <f>(J138*I138)+(I139*J139)</f>
        <v>0.3553333333</v>
      </c>
      <c r="G138" s="29">
        <v>0.45</v>
      </c>
      <c r="H138" s="31" t="s">
        <v>44</v>
      </c>
      <c r="I138" s="32">
        <v>0.25</v>
      </c>
      <c r="J138" s="33">
        <v>0.6</v>
      </c>
      <c r="K138" s="13"/>
    </row>
    <row r="139">
      <c r="A139" s="13"/>
      <c r="B139" s="13"/>
      <c r="C139" s="13"/>
      <c r="D139" s="13"/>
      <c r="E139" s="15"/>
      <c r="F139" s="15"/>
      <c r="G139" s="15"/>
      <c r="H139" s="31" t="s">
        <v>45</v>
      </c>
      <c r="I139" s="34">
        <f>1.54/3</f>
        <v>0.5133333333</v>
      </c>
      <c r="J139" s="33">
        <v>0.4</v>
      </c>
      <c r="K139" s="13"/>
    </row>
    <row r="140">
      <c r="A140" s="13"/>
      <c r="B140" s="13"/>
      <c r="C140" s="13"/>
      <c r="D140" s="13"/>
      <c r="E140" s="30" t="s">
        <v>46</v>
      </c>
      <c r="F140" s="29">
        <f>(J140*I140)+(I141*J141)</f>
        <v>0.258</v>
      </c>
      <c r="G140" s="29">
        <v>0.55</v>
      </c>
      <c r="H140" s="31" t="s">
        <v>47</v>
      </c>
      <c r="I140" s="32">
        <v>0.43</v>
      </c>
      <c r="J140" s="33">
        <v>0.6</v>
      </c>
      <c r="K140" s="13"/>
    </row>
    <row r="141">
      <c r="A141" s="13"/>
      <c r="B141" s="15"/>
      <c r="C141" s="15"/>
      <c r="D141" s="15"/>
      <c r="E141" s="15"/>
      <c r="F141" s="15"/>
      <c r="G141" s="15"/>
      <c r="H141" s="31" t="s">
        <v>48</v>
      </c>
      <c r="I141" s="32">
        <v>0.0</v>
      </c>
      <c r="J141" s="33">
        <v>0.4</v>
      </c>
      <c r="K141" s="13"/>
    </row>
    <row r="142">
      <c r="A142" s="13"/>
      <c r="B142" s="66" t="s">
        <v>49</v>
      </c>
      <c r="C142" s="36">
        <f>(F142*G142)+(F146*G146)</f>
        <v>0.6204625</v>
      </c>
      <c r="D142" s="36">
        <v>0.2</v>
      </c>
      <c r="E142" s="37" t="s">
        <v>50</v>
      </c>
      <c r="F142" s="36">
        <f>(J142*I142)+(J143*I143)+(J144*I144)+(J145*I145)</f>
        <v>0.58975</v>
      </c>
      <c r="G142" s="36">
        <v>0.55</v>
      </c>
      <c r="H142" s="38" t="s">
        <v>51</v>
      </c>
      <c r="I142" s="39">
        <v>0.31</v>
      </c>
      <c r="J142" s="40">
        <v>0.35</v>
      </c>
      <c r="K142" s="13"/>
    </row>
    <row r="143">
      <c r="A143" s="13"/>
      <c r="B143" s="13"/>
      <c r="C143" s="13"/>
      <c r="D143" s="13"/>
      <c r="E143" s="13"/>
      <c r="F143" s="13"/>
      <c r="G143" s="13"/>
      <c r="H143" s="38" t="s">
        <v>52</v>
      </c>
      <c r="I143" s="41">
        <f>2.38/4</f>
        <v>0.595</v>
      </c>
      <c r="J143" s="40">
        <v>0.35</v>
      </c>
      <c r="K143" s="13"/>
    </row>
    <row r="144">
      <c r="A144" s="13"/>
      <c r="B144" s="13"/>
      <c r="C144" s="13"/>
      <c r="D144" s="13"/>
      <c r="E144" s="13"/>
      <c r="F144" s="13"/>
      <c r="G144" s="13"/>
      <c r="H144" s="38" t="s">
        <v>53</v>
      </c>
      <c r="I144" s="41">
        <f>3.28/4</f>
        <v>0.82</v>
      </c>
      <c r="J144" s="40">
        <v>0.15</v>
      </c>
      <c r="K144" s="13"/>
    </row>
    <row r="145">
      <c r="A145" s="13"/>
      <c r="B145" s="13"/>
      <c r="C145" s="13"/>
      <c r="D145" s="13"/>
      <c r="E145" s="15"/>
      <c r="F145" s="15"/>
      <c r="G145" s="15"/>
      <c r="H145" s="38" t="s">
        <v>54</v>
      </c>
      <c r="I145" s="39">
        <v>1.0</v>
      </c>
      <c r="J145" s="40">
        <v>0.15</v>
      </c>
      <c r="K145" s="13"/>
    </row>
    <row r="146">
      <c r="A146" s="13"/>
      <c r="B146" s="13"/>
      <c r="C146" s="13"/>
      <c r="D146" s="13"/>
      <c r="E146" s="35" t="s">
        <v>55</v>
      </c>
      <c r="F146" s="36">
        <f>(J146*I146)+(I147*J147)+(I148*J148)</f>
        <v>0.658</v>
      </c>
      <c r="G146" s="36">
        <v>0.45</v>
      </c>
      <c r="H146" s="38" t="s">
        <v>56</v>
      </c>
      <c r="I146" s="39">
        <f>2.52/4</f>
        <v>0.63</v>
      </c>
      <c r="J146" s="40">
        <v>0.3</v>
      </c>
      <c r="K146" s="13"/>
    </row>
    <row r="147">
      <c r="A147" s="13"/>
      <c r="B147" s="13"/>
      <c r="C147" s="13"/>
      <c r="D147" s="13"/>
      <c r="E147" s="13"/>
      <c r="F147" s="13"/>
      <c r="G147" s="13"/>
      <c r="H147" s="38" t="s">
        <v>57</v>
      </c>
      <c r="I147" s="41">
        <f>3.12/4</f>
        <v>0.78</v>
      </c>
      <c r="J147" s="40">
        <v>0.3</v>
      </c>
      <c r="K147" s="13"/>
    </row>
    <row r="148">
      <c r="A148" s="13"/>
      <c r="B148" s="15"/>
      <c r="C148" s="15"/>
      <c r="D148" s="15"/>
      <c r="E148" s="15"/>
      <c r="F148" s="15"/>
      <c r="G148" s="15"/>
      <c r="H148" s="38" t="s">
        <v>58</v>
      </c>
      <c r="I148" s="41">
        <f>2.35/4</f>
        <v>0.5875</v>
      </c>
      <c r="J148" s="40">
        <v>0.4</v>
      </c>
      <c r="K148" s="13"/>
    </row>
    <row r="149">
      <c r="A149" s="13"/>
      <c r="B149" s="67" t="s">
        <v>59</v>
      </c>
      <c r="C149" s="43">
        <f>(F149*G149)+(F151*G151)</f>
        <v>0.544</v>
      </c>
      <c r="D149" s="43">
        <v>0.1</v>
      </c>
      <c r="E149" s="42" t="s">
        <v>60</v>
      </c>
      <c r="F149" s="43">
        <f>(J149*I149)+(I150*J150)</f>
        <v>0.6666666667</v>
      </c>
      <c r="G149" s="43">
        <v>0.6</v>
      </c>
      <c r="H149" s="44" t="s">
        <v>61</v>
      </c>
      <c r="I149" s="45">
        <v>1.0</v>
      </c>
      <c r="J149" s="46">
        <v>0.5</v>
      </c>
      <c r="K149" s="13"/>
    </row>
    <row r="150">
      <c r="A150" s="13"/>
      <c r="B150" s="13"/>
      <c r="C150" s="13"/>
      <c r="D150" s="13"/>
      <c r="E150" s="15"/>
      <c r="F150" s="15"/>
      <c r="G150" s="15"/>
      <c r="H150" s="44" t="s">
        <v>62</v>
      </c>
      <c r="I150" s="51">
        <f>1/3</f>
        <v>0.3333333333</v>
      </c>
      <c r="J150" s="46">
        <v>0.5</v>
      </c>
      <c r="K150" s="13"/>
    </row>
    <row r="151">
      <c r="A151" s="13"/>
      <c r="B151" s="13"/>
      <c r="C151" s="13"/>
      <c r="D151" s="13"/>
      <c r="E151" s="42" t="s">
        <v>63</v>
      </c>
      <c r="F151" s="43">
        <f>(J151*I151)+(I152*J152)</f>
        <v>0.36</v>
      </c>
      <c r="G151" s="43">
        <v>0.4</v>
      </c>
      <c r="H151" s="44" t="s">
        <v>64</v>
      </c>
      <c r="I151" s="45">
        <v>0.0</v>
      </c>
      <c r="J151" s="47">
        <v>0.6</v>
      </c>
      <c r="K151" s="13"/>
    </row>
    <row r="152">
      <c r="A152" s="15"/>
      <c r="B152" s="15"/>
      <c r="C152" s="15"/>
      <c r="D152" s="15"/>
      <c r="E152" s="15"/>
      <c r="F152" s="15"/>
      <c r="G152" s="15"/>
      <c r="H152" s="44" t="s">
        <v>65</v>
      </c>
      <c r="I152" s="45">
        <f>90/100</f>
        <v>0.9</v>
      </c>
      <c r="J152" s="47">
        <v>0.4</v>
      </c>
      <c r="K152" s="15"/>
    </row>
    <row r="153">
      <c r="B153" s="69"/>
    </row>
    <row r="154">
      <c r="A154" s="5" t="s">
        <v>86</v>
      </c>
      <c r="B154" s="63" t="s">
        <v>12</v>
      </c>
      <c r="C154" s="7">
        <f>(G154*F154)+(G158*F158)+(G160*F160)+(G163*F163)</f>
        <v>0.519153</v>
      </c>
      <c r="D154" s="7">
        <v>0.3</v>
      </c>
      <c r="E154" s="6" t="s">
        <v>13</v>
      </c>
      <c r="F154" s="7">
        <f>(J154*I154)+(J155*I155)+(J156*I156)+(J157*I157)</f>
        <v>0.5487</v>
      </c>
      <c r="G154" s="7">
        <v>0.3</v>
      </c>
      <c r="H154" s="8" t="s">
        <v>14</v>
      </c>
      <c r="I154" s="9">
        <v>0.37</v>
      </c>
      <c r="J154" s="10">
        <v>0.15</v>
      </c>
      <c r="K154" s="11">
        <f>(C154*D154)+(C165*D165)+(C176*D176)+(C180*D180)+(C187*D187)</f>
        <v>0.56623465</v>
      </c>
    </row>
    <row r="155">
      <c r="A155" s="13"/>
      <c r="B155" s="13"/>
      <c r="C155" s="13"/>
      <c r="D155" s="13"/>
      <c r="E155" s="13"/>
      <c r="F155" s="13"/>
      <c r="G155" s="13"/>
      <c r="H155" s="8" t="s">
        <v>15</v>
      </c>
      <c r="I155" s="9">
        <v>0.69</v>
      </c>
      <c r="J155" s="10">
        <v>0.5</v>
      </c>
      <c r="K155" s="13"/>
    </row>
    <row r="156">
      <c r="A156" s="13"/>
      <c r="B156" s="13"/>
      <c r="C156" s="13"/>
      <c r="D156" s="13"/>
      <c r="E156" s="13"/>
      <c r="F156" s="13"/>
      <c r="G156" s="13"/>
      <c r="H156" s="8" t="s">
        <v>16</v>
      </c>
      <c r="I156" s="14">
        <f>5.88/10</f>
        <v>0.588</v>
      </c>
      <c r="J156" s="10">
        <v>0.15</v>
      </c>
      <c r="K156" s="13"/>
    </row>
    <row r="157">
      <c r="A157" s="13"/>
      <c r="B157" s="13"/>
      <c r="C157" s="13"/>
      <c r="D157" s="13"/>
      <c r="E157" s="15"/>
      <c r="F157" s="15"/>
      <c r="G157" s="15"/>
      <c r="H157" s="8" t="s">
        <v>17</v>
      </c>
      <c r="I157" s="9">
        <v>0.3</v>
      </c>
      <c r="J157" s="10">
        <v>0.2</v>
      </c>
      <c r="K157" s="13"/>
    </row>
    <row r="158">
      <c r="A158" s="13"/>
      <c r="B158" s="13"/>
      <c r="C158" s="13"/>
      <c r="D158" s="13"/>
      <c r="E158" s="6" t="s">
        <v>18</v>
      </c>
      <c r="F158" s="7">
        <f>(J158*I158)+(I159*J159)</f>
        <v>0.465</v>
      </c>
      <c r="G158" s="7">
        <v>0.25</v>
      </c>
      <c r="H158" s="8" t="s">
        <v>19</v>
      </c>
      <c r="I158" s="9">
        <v>0.3</v>
      </c>
      <c r="J158" s="10">
        <v>0.7</v>
      </c>
      <c r="K158" s="13"/>
    </row>
    <row r="159">
      <c r="A159" s="13"/>
      <c r="B159" s="13"/>
      <c r="C159" s="13"/>
      <c r="D159" s="13"/>
      <c r="E159" s="15"/>
      <c r="F159" s="15"/>
      <c r="G159" s="15"/>
      <c r="H159" s="8" t="s">
        <v>20</v>
      </c>
      <c r="I159" s="9">
        <f>3.4/4</f>
        <v>0.85</v>
      </c>
      <c r="J159" s="10">
        <v>0.3</v>
      </c>
      <c r="K159" s="13"/>
    </row>
    <row r="160">
      <c r="A160" s="13"/>
      <c r="B160" s="13"/>
      <c r="C160" s="13"/>
      <c r="D160" s="13"/>
      <c r="E160" s="6" t="s">
        <v>21</v>
      </c>
      <c r="F160" s="7">
        <f>(J160*I160)+(I161*J161)+(I162*J162)</f>
        <v>0.47231</v>
      </c>
      <c r="G160" s="7">
        <v>0.3</v>
      </c>
      <c r="H160" s="8" t="s">
        <v>22</v>
      </c>
      <c r="I160" s="14">
        <f>28.66/100</f>
        <v>0.2866</v>
      </c>
      <c r="J160" s="10">
        <v>0.35</v>
      </c>
      <c r="K160" s="13"/>
    </row>
    <row r="161">
      <c r="A161" s="13"/>
      <c r="B161" s="13"/>
      <c r="C161" s="13"/>
      <c r="D161" s="13"/>
      <c r="E161" s="13"/>
      <c r="F161" s="13"/>
      <c r="G161" s="13"/>
      <c r="H161" s="8" t="s">
        <v>23</v>
      </c>
      <c r="I161" s="9">
        <v>0.26</v>
      </c>
      <c r="J161" s="10">
        <v>0.3</v>
      </c>
      <c r="K161" s="13"/>
    </row>
    <row r="162">
      <c r="A162" s="13"/>
      <c r="B162" s="13"/>
      <c r="C162" s="13"/>
      <c r="D162" s="13"/>
      <c r="E162" s="15"/>
      <c r="F162" s="15"/>
      <c r="G162" s="15"/>
      <c r="H162" s="8" t="s">
        <v>24</v>
      </c>
      <c r="I162" s="9">
        <v>0.84</v>
      </c>
      <c r="J162" s="10">
        <v>0.35</v>
      </c>
      <c r="K162" s="13"/>
    </row>
    <row r="163">
      <c r="A163" s="13"/>
      <c r="B163" s="13"/>
      <c r="C163" s="13"/>
      <c r="D163" s="13"/>
      <c r="E163" s="6" t="s">
        <v>25</v>
      </c>
      <c r="F163" s="7">
        <f>(J163*I163)+(I164*J164)</f>
        <v>0.644</v>
      </c>
      <c r="G163" s="7">
        <v>0.15</v>
      </c>
      <c r="H163" s="8" t="s">
        <v>26</v>
      </c>
      <c r="I163" s="9">
        <v>0.52</v>
      </c>
      <c r="J163" s="10">
        <v>0.6</v>
      </c>
      <c r="K163" s="13"/>
    </row>
    <row r="164">
      <c r="A164" s="13"/>
      <c r="B164" s="15"/>
      <c r="C164" s="15"/>
      <c r="D164" s="15"/>
      <c r="E164" s="15"/>
      <c r="F164" s="15"/>
      <c r="G164" s="15"/>
      <c r="H164" s="16" t="s">
        <v>27</v>
      </c>
      <c r="I164" s="14">
        <f>3.32/4</f>
        <v>0.83</v>
      </c>
      <c r="J164" s="17">
        <v>0.4</v>
      </c>
      <c r="K164" s="13"/>
    </row>
    <row r="165">
      <c r="A165" s="13"/>
      <c r="B165" s="64" t="s">
        <v>28</v>
      </c>
      <c r="C165" s="19">
        <f>(G165*F165)+(F169*G169)+(F173*G173)</f>
        <v>0.5203875</v>
      </c>
      <c r="D165" s="19">
        <v>0.2</v>
      </c>
      <c r="E165" s="20" t="s">
        <v>29</v>
      </c>
      <c r="F165" s="19">
        <f>(J165*I165)+(J166*I166)+(J167*I167)+(J168*I168)</f>
        <v>0.29225</v>
      </c>
      <c r="G165" s="19">
        <v>0.35</v>
      </c>
      <c r="H165" s="21" t="s">
        <v>30</v>
      </c>
      <c r="I165" s="22">
        <v>0.4</v>
      </c>
      <c r="J165" s="23">
        <v>0.3</v>
      </c>
      <c r="K165" s="13"/>
    </row>
    <row r="166">
      <c r="A166" s="13"/>
      <c r="B166" s="13"/>
      <c r="C166" s="13"/>
      <c r="D166" s="13"/>
      <c r="E166" s="13"/>
      <c r="F166" s="13"/>
      <c r="G166" s="13"/>
      <c r="H166" s="21" t="s">
        <v>31</v>
      </c>
      <c r="I166" s="24">
        <f>1.1/4</f>
        <v>0.275</v>
      </c>
      <c r="J166" s="23">
        <v>0.2</v>
      </c>
      <c r="K166" s="13"/>
    </row>
    <row r="167">
      <c r="A167" s="13"/>
      <c r="B167" s="13"/>
      <c r="C167" s="13"/>
      <c r="D167" s="13"/>
      <c r="E167" s="13"/>
      <c r="F167" s="13"/>
      <c r="G167" s="13"/>
      <c r="H167" s="21" t="s">
        <v>32</v>
      </c>
      <c r="I167" s="22">
        <f>0.92/4</f>
        <v>0.23</v>
      </c>
      <c r="J167" s="23">
        <v>0.2</v>
      </c>
      <c r="K167" s="13"/>
    </row>
    <row r="168">
      <c r="A168" s="13"/>
      <c r="B168" s="13"/>
      <c r="C168" s="13"/>
      <c r="D168" s="13"/>
      <c r="E168" s="15"/>
      <c r="F168" s="15"/>
      <c r="G168" s="15"/>
      <c r="H168" s="21" t="s">
        <v>33</v>
      </c>
      <c r="I168" s="22">
        <f>0.95/4</f>
        <v>0.2375</v>
      </c>
      <c r="J168" s="23">
        <v>0.3</v>
      </c>
      <c r="K168" s="13"/>
    </row>
    <row r="169">
      <c r="A169" s="13"/>
      <c r="B169" s="13"/>
      <c r="C169" s="13"/>
      <c r="D169" s="13"/>
      <c r="E169" s="25" t="s">
        <v>34</v>
      </c>
      <c r="F169" s="19">
        <f>(J169*I169)+(J170*I170)+(J171*I171)+(J172*I172)</f>
        <v>0.744</v>
      </c>
      <c r="G169" s="19">
        <v>0.4</v>
      </c>
      <c r="H169" s="21" t="s">
        <v>35</v>
      </c>
      <c r="I169" s="22">
        <v>0.662</v>
      </c>
      <c r="J169" s="23">
        <v>0.5</v>
      </c>
      <c r="K169" s="13"/>
    </row>
    <row r="170">
      <c r="A170" s="13"/>
      <c r="B170" s="13"/>
      <c r="C170" s="13"/>
      <c r="D170" s="13"/>
      <c r="E170" s="13"/>
      <c r="F170" s="13"/>
      <c r="G170" s="13"/>
      <c r="H170" s="21" t="s">
        <v>36</v>
      </c>
      <c r="I170" s="22">
        <f>(100-17)/100</f>
        <v>0.83</v>
      </c>
      <c r="J170" s="23">
        <v>0.3</v>
      </c>
      <c r="K170" s="13"/>
    </row>
    <row r="171">
      <c r="A171" s="13"/>
      <c r="B171" s="13"/>
      <c r="C171" s="13"/>
      <c r="D171" s="13"/>
      <c r="E171" s="13"/>
      <c r="F171" s="13"/>
      <c r="G171" s="13"/>
      <c r="H171" s="26" t="s">
        <v>37</v>
      </c>
      <c r="I171" s="27">
        <f>3.28/4</f>
        <v>0.82</v>
      </c>
      <c r="J171" s="19">
        <v>0.2</v>
      </c>
      <c r="K171" s="13"/>
    </row>
    <row r="172">
      <c r="A172" s="13"/>
      <c r="B172" s="13"/>
      <c r="C172" s="13"/>
      <c r="D172" s="13"/>
      <c r="E172" s="15"/>
      <c r="F172" s="15"/>
      <c r="G172" s="15"/>
      <c r="H172" s="15"/>
      <c r="I172" s="15"/>
      <c r="J172" s="15"/>
      <c r="K172" s="13"/>
    </row>
    <row r="173">
      <c r="A173" s="13"/>
      <c r="B173" s="13"/>
      <c r="C173" s="13"/>
      <c r="D173" s="13"/>
      <c r="E173" s="25" t="s">
        <v>38</v>
      </c>
      <c r="F173" s="19">
        <f>(J173*I173)+(I174*J174)+(I175*J175)</f>
        <v>0.482</v>
      </c>
      <c r="G173" s="19">
        <v>0.25</v>
      </c>
      <c r="H173" s="21" t="s">
        <v>39</v>
      </c>
      <c r="I173" s="24">
        <f>(100-45.2)/100</f>
        <v>0.548</v>
      </c>
      <c r="J173" s="23">
        <v>0.25</v>
      </c>
      <c r="K173" s="13"/>
    </row>
    <row r="174">
      <c r="A174" s="13"/>
      <c r="B174" s="13"/>
      <c r="C174" s="13"/>
      <c r="D174" s="13"/>
      <c r="E174" s="13"/>
      <c r="F174" s="13"/>
      <c r="G174" s="13"/>
      <c r="H174" s="21" t="s">
        <v>40</v>
      </c>
      <c r="I174" s="22">
        <f>1.88/4</f>
        <v>0.47</v>
      </c>
      <c r="J174" s="23">
        <v>0.5</v>
      </c>
      <c r="K174" s="13"/>
    </row>
    <row r="175">
      <c r="A175" s="13"/>
      <c r="B175" s="15"/>
      <c r="C175" s="15"/>
      <c r="D175" s="15"/>
      <c r="E175" s="15"/>
      <c r="F175" s="15"/>
      <c r="G175" s="15"/>
      <c r="H175" s="21" t="s">
        <v>41</v>
      </c>
      <c r="I175" s="24">
        <f>(100-56)/100</f>
        <v>0.44</v>
      </c>
      <c r="J175" s="23">
        <v>0.25</v>
      </c>
      <c r="K175" s="13"/>
    </row>
    <row r="176">
      <c r="A176" s="13"/>
      <c r="B176" s="65" t="s">
        <v>42</v>
      </c>
      <c r="C176" s="29">
        <f>(G176*F176)+(F178*G178)</f>
        <v>0.3066</v>
      </c>
      <c r="D176" s="29">
        <v>0.2</v>
      </c>
      <c r="E176" s="30" t="s">
        <v>43</v>
      </c>
      <c r="F176" s="29">
        <f>(J176*I176)+(I177*J177)</f>
        <v>0.4393333333</v>
      </c>
      <c r="G176" s="29">
        <v>0.45</v>
      </c>
      <c r="H176" s="31" t="s">
        <v>44</v>
      </c>
      <c r="I176" s="32">
        <v>0.47</v>
      </c>
      <c r="J176" s="33">
        <v>0.6</v>
      </c>
      <c r="K176" s="13"/>
    </row>
    <row r="177">
      <c r="A177" s="13"/>
      <c r="B177" s="13"/>
      <c r="C177" s="13"/>
      <c r="D177" s="13"/>
      <c r="E177" s="15"/>
      <c r="F177" s="15"/>
      <c r="G177" s="15"/>
      <c r="H177" s="31" t="s">
        <v>45</v>
      </c>
      <c r="I177" s="34">
        <f>1.18/3</f>
        <v>0.3933333333</v>
      </c>
      <c r="J177" s="33">
        <v>0.4</v>
      </c>
      <c r="K177" s="13"/>
    </row>
    <row r="178">
      <c r="A178" s="13"/>
      <c r="B178" s="13"/>
      <c r="C178" s="13"/>
      <c r="D178" s="13"/>
      <c r="E178" s="30" t="s">
        <v>46</v>
      </c>
      <c r="F178" s="29">
        <f>(J178*I178)+(I179*J179)</f>
        <v>0.198</v>
      </c>
      <c r="G178" s="29">
        <v>0.55</v>
      </c>
      <c r="H178" s="71" t="s">
        <v>47</v>
      </c>
      <c r="I178" s="28">
        <v>0.33</v>
      </c>
      <c r="J178" s="29">
        <v>0.6</v>
      </c>
      <c r="K178" s="13"/>
    </row>
    <row r="179">
      <c r="A179" s="13"/>
      <c r="B179" s="15"/>
      <c r="C179" s="15"/>
      <c r="D179" s="15"/>
      <c r="E179" s="15"/>
      <c r="F179" s="15"/>
      <c r="G179" s="15"/>
      <c r="H179" s="15"/>
      <c r="I179" s="15"/>
      <c r="J179" s="15"/>
      <c r="K179" s="13"/>
    </row>
    <row r="180">
      <c r="A180" s="13"/>
      <c r="B180" s="66" t="s">
        <v>49</v>
      </c>
      <c r="C180" s="36">
        <f>(F180*G180)+(F184*G184)</f>
        <v>0.70545625</v>
      </c>
      <c r="D180" s="36">
        <v>0.2</v>
      </c>
      <c r="E180" s="37" t="s">
        <v>50</v>
      </c>
      <c r="F180" s="36">
        <f>(J180*I180)+(J181*I181)+(J182*I182)+(J183*I183)</f>
        <v>0.777625</v>
      </c>
      <c r="G180" s="36">
        <v>0.55</v>
      </c>
      <c r="H180" s="38" t="s">
        <v>51</v>
      </c>
      <c r="I180" s="39">
        <v>0.67</v>
      </c>
      <c r="J180" s="40">
        <v>0.35</v>
      </c>
      <c r="K180" s="13"/>
    </row>
    <row r="181">
      <c r="A181" s="13"/>
      <c r="B181" s="13"/>
      <c r="C181" s="13"/>
      <c r="D181" s="13"/>
      <c r="E181" s="13"/>
      <c r="F181" s="13"/>
      <c r="G181" s="13"/>
      <c r="H181" s="38" t="s">
        <v>52</v>
      </c>
      <c r="I181" s="41">
        <f>2.89/4</f>
        <v>0.7225</v>
      </c>
      <c r="J181" s="40">
        <v>0.35</v>
      </c>
      <c r="K181" s="13"/>
    </row>
    <row r="182">
      <c r="A182" s="13"/>
      <c r="B182" s="13"/>
      <c r="C182" s="13"/>
      <c r="D182" s="13"/>
      <c r="E182" s="13"/>
      <c r="F182" s="13"/>
      <c r="G182" s="13"/>
      <c r="H182" s="38" t="s">
        <v>53</v>
      </c>
      <c r="I182" s="41">
        <f>3.74/4</f>
        <v>0.935</v>
      </c>
      <c r="J182" s="40">
        <v>0.15</v>
      </c>
      <c r="K182" s="13"/>
    </row>
    <row r="183">
      <c r="A183" s="13"/>
      <c r="B183" s="13"/>
      <c r="C183" s="13"/>
      <c r="D183" s="13"/>
      <c r="E183" s="15"/>
      <c r="F183" s="15"/>
      <c r="G183" s="15"/>
      <c r="H183" s="38" t="s">
        <v>54</v>
      </c>
      <c r="I183" s="39">
        <v>1.0</v>
      </c>
      <c r="J183" s="40">
        <v>0.15</v>
      </c>
      <c r="K183" s="13"/>
    </row>
    <row r="184">
      <c r="A184" s="13"/>
      <c r="B184" s="13"/>
      <c r="C184" s="13"/>
      <c r="D184" s="13"/>
      <c r="E184" s="35" t="s">
        <v>55</v>
      </c>
      <c r="F184" s="36">
        <f>(J184*I184)+(I185*J185)+(I186*J186)</f>
        <v>0.61725</v>
      </c>
      <c r="G184" s="36">
        <v>0.45</v>
      </c>
      <c r="H184" s="38" t="s">
        <v>56</v>
      </c>
      <c r="I184" s="39">
        <f>2.69/4</f>
        <v>0.6725</v>
      </c>
      <c r="J184" s="40">
        <v>0.3</v>
      </c>
      <c r="K184" s="13"/>
    </row>
    <row r="185">
      <c r="A185" s="13"/>
      <c r="B185" s="13"/>
      <c r="C185" s="13"/>
      <c r="D185" s="13"/>
      <c r="E185" s="13"/>
      <c r="F185" s="13"/>
      <c r="G185" s="13"/>
      <c r="H185" s="38" t="s">
        <v>57</v>
      </c>
      <c r="I185" s="41">
        <f>1.74/4</f>
        <v>0.435</v>
      </c>
      <c r="J185" s="40">
        <v>0.3</v>
      </c>
      <c r="K185" s="13"/>
    </row>
    <row r="186">
      <c r="A186" s="13"/>
      <c r="B186" s="15"/>
      <c r="C186" s="15"/>
      <c r="D186" s="15"/>
      <c r="E186" s="15"/>
      <c r="F186" s="15"/>
      <c r="G186" s="15"/>
      <c r="H186" s="38" t="s">
        <v>58</v>
      </c>
      <c r="I186" s="41">
        <f>2.85/4</f>
        <v>0.7125</v>
      </c>
      <c r="J186" s="40">
        <v>0.4</v>
      </c>
      <c r="K186" s="13"/>
    </row>
    <row r="187">
      <c r="A187" s="13"/>
      <c r="B187" s="67" t="s">
        <v>59</v>
      </c>
      <c r="C187" s="43">
        <f>(F187*G187)+(F189*G189)</f>
        <v>1.04</v>
      </c>
      <c r="D187" s="43">
        <v>0.1</v>
      </c>
      <c r="E187" s="42" t="s">
        <v>60</v>
      </c>
      <c r="F187" s="43">
        <f>(J187*I187)+(I188*J188)</f>
        <v>0.6666666667</v>
      </c>
      <c r="G187" s="43">
        <v>0.6</v>
      </c>
      <c r="H187" s="44" t="s">
        <v>61</v>
      </c>
      <c r="I187" s="45">
        <v>1.0</v>
      </c>
      <c r="J187" s="46">
        <v>0.5</v>
      </c>
      <c r="K187" s="13"/>
    </row>
    <row r="188">
      <c r="A188" s="13"/>
      <c r="B188" s="13"/>
      <c r="C188" s="13"/>
      <c r="D188" s="13"/>
      <c r="E188" s="15"/>
      <c r="F188" s="15"/>
      <c r="G188" s="15"/>
      <c r="H188" s="44" t="s">
        <v>62</v>
      </c>
      <c r="I188" s="51">
        <f>1/3</f>
        <v>0.3333333333</v>
      </c>
      <c r="J188" s="46">
        <v>0.5</v>
      </c>
      <c r="K188" s="13"/>
    </row>
    <row r="189">
      <c r="A189" s="13"/>
      <c r="B189" s="13"/>
      <c r="C189" s="13"/>
      <c r="D189" s="13"/>
      <c r="E189" s="42" t="s">
        <v>63</v>
      </c>
      <c r="F189" s="43">
        <f>(J189*I189)+(I190*J190)</f>
        <v>1.6</v>
      </c>
      <c r="G189" s="43">
        <v>0.4</v>
      </c>
      <c r="H189" s="44" t="s">
        <v>64</v>
      </c>
      <c r="I189" s="45">
        <v>2.0</v>
      </c>
      <c r="J189" s="47">
        <v>0.6</v>
      </c>
      <c r="K189" s="13"/>
    </row>
    <row r="190">
      <c r="A190" s="15"/>
      <c r="B190" s="15"/>
      <c r="C190" s="15"/>
      <c r="D190" s="15"/>
      <c r="E190" s="15"/>
      <c r="F190" s="15"/>
      <c r="G190" s="15"/>
      <c r="H190" s="44" t="s">
        <v>65</v>
      </c>
      <c r="I190" s="45">
        <f>100/100</f>
        <v>1</v>
      </c>
      <c r="J190" s="47">
        <v>0.4</v>
      </c>
      <c r="K190" s="15"/>
    </row>
    <row r="191">
      <c r="B191" s="69"/>
    </row>
    <row r="192">
      <c r="A192" s="5" t="s">
        <v>87</v>
      </c>
      <c r="B192" s="63" t="s">
        <v>12</v>
      </c>
      <c r="C192" s="7">
        <f>(G192*F192)+(G196*F196)+(G198*F198)+(G201*F201)</f>
        <v>0.323114</v>
      </c>
      <c r="D192" s="7">
        <v>0.3</v>
      </c>
      <c r="E192" s="6" t="s">
        <v>13</v>
      </c>
      <c r="F192" s="7">
        <f>(J192*I192)+(J193*I193)+(J194*I194)+(J195*I195)</f>
        <v>0.2045</v>
      </c>
      <c r="G192" s="7">
        <v>0.3</v>
      </c>
      <c r="H192" s="8" t="s">
        <v>14</v>
      </c>
      <c r="I192" s="9">
        <v>0.07</v>
      </c>
      <c r="J192" s="10">
        <v>0.15</v>
      </c>
      <c r="K192" s="11">
        <f>(C192*D192)+(C203*D203)+(C214*D214)+(C218*D218)+(C225*D225)</f>
        <v>0.3152892</v>
      </c>
    </row>
    <row r="193">
      <c r="A193" s="13"/>
      <c r="B193" s="13"/>
      <c r="C193" s="13"/>
      <c r="D193" s="13"/>
      <c r="E193" s="13"/>
      <c r="F193" s="13"/>
      <c r="G193" s="13"/>
      <c r="H193" s="8" t="s">
        <v>15</v>
      </c>
      <c r="I193" s="9">
        <v>0.17</v>
      </c>
      <c r="J193" s="10">
        <v>0.5</v>
      </c>
      <c r="K193" s="13"/>
    </row>
    <row r="194">
      <c r="A194" s="13"/>
      <c r="B194" s="13"/>
      <c r="C194" s="13"/>
      <c r="D194" s="13"/>
      <c r="E194" s="13"/>
      <c r="F194" s="13"/>
      <c r="G194" s="13"/>
      <c r="H194" s="8" t="s">
        <v>16</v>
      </c>
      <c r="I194" s="14">
        <v>0.5</v>
      </c>
      <c r="J194" s="10">
        <v>0.15</v>
      </c>
      <c r="K194" s="13"/>
    </row>
    <row r="195">
      <c r="A195" s="13"/>
      <c r="B195" s="13"/>
      <c r="C195" s="13"/>
      <c r="D195" s="13"/>
      <c r="E195" s="15"/>
      <c r="F195" s="15"/>
      <c r="G195" s="15"/>
      <c r="H195" s="8" t="s">
        <v>17</v>
      </c>
      <c r="I195" s="9">
        <v>0.17</v>
      </c>
      <c r="J195" s="10">
        <v>0.2</v>
      </c>
      <c r="K195" s="13"/>
    </row>
    <row r="196">
      <c r="A196" s="13"/>
      <c r="B196" s="13"/>
      <c r="C196" s="13"/>
      <c r="D196" s="13"/>
      <c r="E196" s="6" t="s">
        <v>18</v>
      </c>
      <c r="F196" s="7">
        <f>(J196*I196)+(I197*J197)</f>
        <v>0.281</v>
      </c>
      <c r="G196" s="7">
        <v>0.25</v>
      </c>
      <c r="H196" s="8" t="s">
        <v>19</v>
      </c>
      <c r="I196" s="9">
        <v>0.2</v>
      </c>
      <c r="J196" s="10">
        <v>0.7</v>
      </c>
      <c r="K196" s="13"/>
    </row>
    <row r="197">
      <c r="A197" s="13"/>
      <c r="B197" s="13"/>
      <c r="C197" s="13"/>
      <c r="D197" s="13"/>
      <c r="E197" s="15"/>
      <c r="F197" s="15"/>
      <c r="G197" s="15"/>
      <c r="H197" s="8" t="s">
        <v>20</v>
      </c>
      <c r="I197" s="9">
        <f>1.88/4</f>
        <v>0.47</v>
      </c>
      <c r="J197" s="10">
        <v>0.3</v>
      </c>
      <c r="K197" s="13"/>
    </row>
    <row r="198">
      <c r="A198" s="13"/>
      <c r="B198" s="13"/>
      <c r="C198" s="13"/>
      <c r="D198" s="13"/>
      <c r="E198" s="6" t="s">
        <v>21</v>
      </c>
      <c r="F198" s="7">
        <f>(J198*I198)+(I199*J199)+(I200*J200)</f>
        <v>0.38638</v>
      </c>
      <c r="G198" s="7">
        <v>0.3</v>
      </c>
      <c r="H198" s="8" t="s">
        <v>22</v>
      </c>
      <c r="I198" s="14">
        <f>16.68/100</f>
        <v>0.1668</v>
      </c>
      <c r="J198" s="10">
        <v>0.35</v>
      </c>
      <c r="K198" s="13"/>
    </row>
    <row r="199">
      <c r="A199" s="13"/>
      <c r="B199" s="13"/>
      <c r="C199" s="13"/>
      <c r="D199" s="13"/>
      <c r="E199" s="13"/>
      <c r="F199" s="13"/>
      <c r="G199" s="13"/>
      <c r="H199" s="8" t="s">
        <v>23</v>
      </c>
      <c r="I199" s="9">
        <v>0.16</v>
      </c>
      <c r="J199" s="10">
        <v>0.3</v>
      </c>
      <c r="K199" s="13"/>
    </row>
    <row r="200">
      <c r="A200" s="13"/>
      <c r="B200" s="13"/>
      <c r="C200" s="13"/>
      <c r="D200" s="13"/>
      <c r="E200" s="15"/>
      <c r="F200" s="15"/>
      <c r="G200" s="15"/>
      <c r="H200" s="8" t="s">
        <v>24</v>
      </c>
      <c r="I200" s="9">
        <v>0.8</v>
      </c>
      <c r="J200" s="10">
        <v>0.35</v>
      </c>
      <c r="K200" s="13"/>
    </row>
    <row r="201">
      <c r="A201" s="13"/>
      <c r="B201" s="13"/>
      <c r="C201" s="13"/>
      <c r="D201" s="13"/>
      <c r="E201" s="6" t="s">
        <v>25</v>
      </c>
      <c r="F201" s="7">
        <f>(J201*I201)+(I202*J202)</f>
        <v>0.504</v>
      </c>
      <c r="G201" s="7">
        <v>0.15</v>
      </c>
      <c r="H201" s="8" t="s">
        <v>26</v>
      </c>
      <c r="I201" s="9">
        <v>0.33</v>
      </c>
      <c r="J201" s="10">
        <v>0.6</v>
      </c>
      <c r="K201" s="13"/>
    </row>
    <row r="202">
      <c r="A202" s="13"/>
      <c r="B202" s="15"/>
      <c r="C202" s="15"/>
      <c r="D202" s="15"/>
      <c r="E202" s="15"/>
      <c r="F202" s="15"/>
      <c r="G202" s="15"/>
      <c r="H202" s="16" t="s">
        <v>27</v>
      </c>
      <c r="I202" s="14">
        <f>3.06/4</f>
        <v>0.765</v>
      </c>
      <c r="J202" s="17">
        <v>0.4</v>
      </c>
      <c r="K202" s="13"/>
    </row>
    <row r="203">
      <c r="A203" s="13"/>
      <c r="B203" s="64" t="s">
        <v>28</v>
      </c>
      <c r="C203" s="19">
        <f>(G203*F203)+(F207*G207)+(F211*G211)</f>
        <v>0.397425</v>
      </c>
      <c r="D203" s="19">
        <v>0.2</v>
      </c>
      <c r="E203" s="20" t="s">
        <v>29</v>
      </c>
      <c r="F203" s="19">
        <f>(J203*I203)+(J204*I204)+(J205*I205)+(J206*I206)</f>
        <v>0.1542</v>
      </c>
      <c r="G203" s="19">
        <v>0.35</v>
      </c>
      <c r="H203" s="21" t="s">
        <v>30</v>
      </c>
      <c r="I203" s="22">
        <v>0.3</v>
      </c>
      <c r="J203" s="23">
        <v>0.3</v>
      </c>
      <c r="K203" s="13"/>
    </row>
    <row r="204">
      <c r="A204" s="13"/>
      <c r="B204" s="13"/>
      <c r="C204" s="13"/>
      <c r="D204" s="13"/>
      <c r="E204" s="13"/>
      <c r="F204" s="13"/>
      <c r="G204" s="13"/>
      <c r="H204" s="21" t="s">
        <v>31</v>
      </c>
      <c r="I204" s="24">
        <f>0.53/5</f>
        <v>0.106</v>
      </c>
      <c r="J204" s="23">
        <v>0.2</v>
      </c>
      <c r="K204" s="13"/>
    </row>
    <row r="205">
      <c r="A205" s="13"/>
      <c r="B205" s="13"/>
      <c r="C205" s="13"/>
      <c r="D205" s="13"/>
      <c r="E205" s="13"/>
      <c r="F205" s="13"/>
      <c r="G205" s="13"/>
      <c r="H205" s="21" t="s">
        <v>32</v>
      </c>
      <c r="I205" s="22">
        <f>0.41/4</f>
        <v>0.1025</v>
      </c>
      <c r="J205" s="23">
        <v>0.2</v>
      </c>
      <c r="K205" s="13"/>
    </row>
    <row r="206">
      <c r="A206" s="13"/>
      <c r="B206" s="13"/>
      <c r="C206" s="13"/>
      <c r="D206" s="13"/>
      <c r="E206" s="15"/>
      <c r="F206" s="15"/>
      <c r="G206" s="15"/>
      <c r="H206" s="21" t="s">
        <v>33</v>
      </c>
      <c r="I206" s="22">
        <f>0.3/4</f>
        <v>0.075</v>
      </c>
      <c r="J206" s="23">
        <v>0.3</v>
      </c>
      <c r="K206" s="13"/>
    </row>
    <row r="207">
      <c r="A207" s="13"/>
      <c r="B207" s="13"/>
      <c r="C207" s="13"/>
      <c r="D207" s="13"/>
      <c r="E207" s="25" t="s">
        <v>34</v>
      </c>
      <c r="F207" s="19">
        <f>(J207*I207)+(J208*I208)+(J209*I209)+(J210*I210)</f>
        <v>0.6127</v>
      </c>
      <c r="G207" s="19">
        <v>0.4</v>
      </c>
      <c r="H207" s="21" t="s">
        <v>35</v>
      </c>
      <c r="I207" s="22">
        <v>0.554</v>
      </c>
      <c r="J207" s="23">
        <v>0.5</v>
      </c>
      <c r="K207" s="13"/>
    </row>
    <row r="208">
      <c r="A208" s="13"/>
      <c r="B208" s="13"/>
      <c r="C208" s="13"/>
      <c r="D208" s="13"/>
      <c r="E208" s="13"/>
      <c r="F208" s="13"/>
      <c r="G208" s="13"/>
      <c r="H208" s="21" t="s">
        <v>36</v>
      </c>
      <c r="I208" s="22">
        <f>(100-41.1)/100</f>
        <v>0.589</v>
      </c>
      <c r="J208" s="23">
        <v>0.3</v>
      </c>
      <c r="K208" s="13"/>
    </row>
    <row r="209">
      <c r="A209" s="13"/>
      <c r="B209" s="13"/>
      <c r="C209" s="13"/>
      <c r="D209" s="13"/>
      <c r="E209" s="13"/>
      <c r="F209" s="13"/>
      <c r="G209" s="13"/>
      <c r="H209" s="26" t="s">
        <v>37</v>
      </c>
      <c r="I209" s="27">
        <f>3.18/4</f>
        <v>0.795</v>
      </c>
      <c r="J209" s="19">
        <v>0.2</v>
      </c>
      <c r="K209" s="13"/>
    </row>
    <row r="210">
      <c r="A210" s="13"/>
      <c r="B210" s="13"/>
      <c r="C210" s="13"/>
      <c r="D210" s="13"/>
      <c r="E210" s="15"/>
      <c r="F210" s="15"/>
      <c r="G210" s="15"/>
      <c r="H210" s="15"/>
      <c r="I210" s="15"/>
      <c r="J210" s="15"/>
      <c r="K210" s="13"/>
    </row>
    <row r="211">
      <c r="A211" s="13"/>
      <c r="B211" s="13"/>
      <c r="C211" s="13"/>
      <c r="D211" s="13"/>
      <c r="E211" s="25" t="s">
        <v>38</v>
      </c>
      <c r="F211" s="19">
        <f>(J211*I211)+(I212*J212)+(I213*J213)</f>
        <v>0.3935</v>
      </c>
      <c r="G211" s="19">
        <v>0.25</v>
      </c>
      <c r="H211" s="21" t="s">
        <v>39</v>
      </c>
      <c r="I211" s="24">
        <f>(100-41.1)/100</f>
        <v>0.589</v>
      </c>
      <c r="J211" s="23">
        <v>0.25</v>
      </c>
      <c r="K211" s="13"/>
    </row>
    <row r="212">
      <c r="A212" s="13"/>
      <c r="B212" s="13"/>
      <c r="C212" s="13"/>
      <c r="D212" s="13"/>
      <c r="E212" s="13"/>
      <c r="F212" s="13"/>
      <c r="G212" s="13"/>
      <c r="H212" s="21" t="s">
        <v>40</v>
      </c>
      <c r="I212" s="22">
        <f>1.14/4</f>
        <v>0.285</v>
      </c>
      <c r="J212" s="23">
        <v>0.5</v>
      </c>
      <c r="K212" s="13"/>
    </row>
    <row r="213">
      <c r="A213" s="13"/>
      <c r="B213" s="15"/>
      <c r="C213" s="15"/>
      <c r="D213" s="15"/>
      <c r="E213" s="15"/>
      <c r="F213" s="15"/>
      <c r="G213" s="15"/>
      <c r="H213" s="21" t="s">
        <v>41</v>
      </c>
      <c r="I213" s="24">
        <f>(100-58.5)/100</f>
        <v>0.415</v>
      </c>
      <c r="J213" s="23">
        <v>0.25</v>
      </c>
      <c r="K213" s="13"/>
    </row>
    <row r="214">
      <c r="A214" s="13"/>
      <c r="B214" s="65" t="s">
        <v>42</v>
      </c>
      <c r="C214" s="29">
        <f>(G214*F214)+(F216*G216)</f>
        <v>0.3851</v>
      </c>
      <c r="D214" s="29">
        <v>0.2</v>
      </c>
      <c r="E214" s="30" t="s">
        <v>43</v>
      </c>
      <c r="F214" s="29">
        <f>(J214*I214)+(I215*J215)</f>
        <v>0.5746666667</v>
      </c>
      <c r="G214" s="29">
        <v>0.45</v>
      </c>
      <c r="H214" s="31" t="s">
        <v>44</v>
      </c>
      <c r="I214" s="32">
        <v>0.56</v>
      </c>
      <c r="J214" s="33">
        <v>0.6</v>
      </c>
      <c r="K214" s="13"/>
    </row>
    <row r="215">
      <c r="A215" s="13"/>
      <c r="B215" s="13"/>
      <c r="C215" s="13"/>
      <c r="D215" s="13"/>
      <c r="E215" s="15"/>
      <c r="F215" s="15"/>
      <c r="G215" s="15"/>
      <c r="H215" s="31" t="s">
        <v>45</v>
      </c>
      <c r="I215" s="34">
        <f>1.79/3</f>
        <v>0.5966666667</v>
      </c>
      <c r="J215" s="33">
        <v>0.4</v>
      </c>
      <c r="K215" s="13"/>
    </row>
    <row r="216">
      <c r="A216" s="13"/>
      <c r="B216" s="13"/>
      <c r="C216" s="13"/>
      <c r="D216" s="13"/>
      <c r="E216" s="30" t="s">
        <v>46</v>
      </c>
      <c r="F216" s="29">
        <f>(J216*I216)+(I217*J217)</f>
        <v>0.23</v>
      </c>
      <c r="G216" s="29">
        <v>0.55</v>
      </c>
      <c r="H216" s="71" t="s">
        <v>47</v>
      </c>
      <c r="I216" s="28">
        <v>0.23</v>
      </c>
      <c r="J216" s="29">
        <v>1.0</v>
      </c>
      <c r="K216" s="13"/>
    </row>
    <row r="217">
      <c r="A217" s="13"/>
      <c r="B217" s="15"/>
      <c r="C217" s="15"/>
      <c r="D217" s="15"/>
      <c r="E217" s="15"/>
      <c r="F217" s="15"/>
      <c r="G217" s="15"/>
      <c r="H217" s="15"/>
      <c r="I217" s="15"/>
      <c r="J217" s="15"/>
      <c r="K217" s="13"/>
    </row>
    <row r="218">
      <c r="A218" s="13"/>
      <c r="B218" s="66" t="s">
        <v>49</v>
      </c>
      <c r="C218" s="36">
        <f>(F218*G218)+(F222*G222)</f>
        <v>0.13365</v>
      </c>
      <c r="D218" s="36">
        <v>0.2</v>
      </c>
      <c r="E218" s="37" t="s">
        <v>50</v>
      </c>
      <c r="F218" s="36">
        <f>(J218*I218)+(J219*I219)+(J220*I220)+(J221*I221)</f>
        <v>0.243</v>
      </c>
      <c r="G218" s="36">
        <v>0.55</v>
      </c>
      <c r="H218" s="72" t="s">
        <v>51</v>
      </c>
      <c r="I218" s="35">
        <v>0.0</v>
      </c>
      <c r="J218" s="36">
        <v>0.7</v>
      </c>
      <c r="K218" s="13"/>
    </row>
    <row r="219">
      <c r="A219" s="13"/>
      <c r="B219" s="13"/>
      <c r="C219" s="13"/>
      <c r="D219" s="13"/>
      <c r="E219" s="13"/>
      <c r="F219" s="13"/>
      <c r="G219" s="13"/>
      <c r="H219" s="15"/>
      <c r="I219" s="15"/>
      <c r="J219" s="15"/>
      <c r="K219" s="13"/>
    </row>
    <row r="220">
      <c r="A220" s="13"/>
      <c r="B220" s="13"/>
      <c r="C220" s="13"/>
      <c r="D220" s="13"/>
      <c r="E220" s="13"/>
      <c r="F220" s="13"/>
      <c r="G220" s="13"/>
      <c r="H220" s="38" t="s">
        <v>53</v>
      </c>
      <c r="I220" s="41">
        <f>2.48/4</f>
        <v>0.62</v>
      </c>
      <c r="J220" s="40">
        <v>0.15</v>
      </c>
      <c r="K220" s="13"/>
    </row>
    <row r="221">
      <c r="A221" s="13"/>
      <c r="B221" s="13"/>
      <c r="C221" s="13"/>
      <c r="D221" s="13"/>
      <c r="E221" s="15"/>
      <c r="F221" s="15"/>
      <c r="G221" s="15"/>
      <c r="H221" s="38" t="s">
        <v>54</v>
      </c>
      <c r="I221" s="39">
        <v>1.0</v>
      </c>
      <c r="J221" s="40">
        <v>0.15</v>
      </c>
      <c r="K221" s="13"/>
    </row>
    <row r="222">
      <c r="A222" s="13"/>
      <c r="B222" s="13"/>
      <c r="C222" s="13"/>
      <c r="D222" s="13"/>
      <c r="E222" s="35" t="s">
        <v>55</v>
      </c>
      <c r="F222" s="36">
        <f>(J222*I222)+(I223*J223)+(I224*J224)</f>
        <v>0</v>
      </c>
      <c r="G222" s="36">
        <v>0.45</v>
      </c>
      <c r="H222" s="38" t="s">
        <v>56</v>
      </c>
      <c r="I222" s="39">
        <v>0.0</v>
      </c>
      <c r="J222" s="40">
        <v>0.3</v>
      </c>
      <c r="K222" s="13"/>
    </row>
    <row r="223">
      <c r="A223" s="13"/>
      <c r="B223" s="13"/>
      <c r="C223" s="13"/>
      <c r="D223" s="13"/>
      <c r="E223" s="13"/>
      <c r="F223" s="13"/>
      <c r="G223" s="13"/>
      <c r="H223" s="38" t="s">
        <v>57</v>
      </c>
      <c r="I223" s="39">
        <v>0.0</v>
      </c>
      <c r="J223" s="40">
        <v>0.3</v>
      </c>
      <c r="K223" s="13"/>
    </row>
    <row r="224">
      <c r="A224" s="13"/>
      <c r="B224" s="15"/>
      <c r="C224" s="15"/>
      <c r="D224" s="15"/>
      <c r="E224" s="15"/>
      <c r="F224" s="15"/>
      <c r="G224" s="15"/>
      <c r="H224" s="38" t="s">
        <v>58</v>
      </c>
      <c r="I224" s="41">
        <v>0.0</v>
      </c>
      <c r="J224" s="40">
        <v>0.4</v>
      </c>
      <c r="K224" s="13"/>
    </row>
    <row r="225">
      <c r="A225" s="13"/>
      <c r="B225" s="67" t="s">
        <v>59</v>
      </c>
      <c r="C225" s="43">
        <f>(F225*G225)+(F227*G227)</f>
        <v>0.3512</v>
      </c>
      <c r="D225" s="43">
        <v>0.1</v>
      </c>
      <c r="E225" s="42" t="s">
        <v>60</v>
      </c>
      <c r="F225" s="43">
        <f>(J225*I225)+(I226*J226)</f>
        <v>0.5</v>
      </c>
      <c r="G225" s="43">
        <v>0.6</v>
      </c>
      <c r="H225" s="44" t="s">
        <v>61</v>
      </c>
      <c r="I225" s="45">
        <v>1.0</v>
      </c>
      <c r="J225" s="46">
        <v>0.5</v>
      </c>
      <c r="K225" s="13"/>
    </row>
    <row r="226">
      <c r="A226" s="13"/>
      <c r="B226" s="13"/>
      <c r="C226" s="13"/>
      <c r="D226" s="13"/>
      <c r="E226" s="15"/>
      <c r="F226" s="15"/>
      <c r="G226" s="15"/>
      <c r="H226" s="44" t="s">
        <v>62</v>
      </c>
      <c r="I226" s="68">
        <v>0.0</v>
      </c>
      <c r="J226" s="46">
        <v>0.5</v>
      </c>
      <c r="K226" s="13"/>
    </row>
    <row r="227">
      <c r="A227" s="13"/>
      <c r="B227" s="13"/>
      <c r="C227" s="13"/>
      <c r="D227" s="13"/>
      <c r="E227" s="42" t="s">
        <v>63</v>
      </c>
      <c r="F227" s="43">
        <f>(J227*I227)+(I228*J228)</f>
        <v>0.128</v>
      </c>
      <c r="G227" s="43">
        <v>0.4</v>
      </c>
      <c r="H227" s="44" t="s">
        <v>64</v>
      </c>
      <c r="I227" s="45">
        <v>0.0</v>
      </c>
      <c r="J227" s="47">
        <v>0.6</v>
      </c>
      <c r="K227" s="13"/>
    </row>
    <row r="228">
      <c r="A228" s="15"/>
      <c r="B228" s="15"/>
      <c r="C228" s="15"/>
      <c r="D228" s="15"/>
      <c r="E228" s="15"/>
      <c r="F228" s="15"/>
      <c r="G228" s="15"/>
      <c r="H228" s="44" t="s">
        <v>65</v>
      </c>
      <c r="I228" s="45">
        <f>32/100</f>
        <v>0.32</v>
      </c>
      <c r="J228" s="47">
        <v>0.4</v>
      </c>
      <c r="K228" s="15"/>
    </row>
    <row r="229">
      <c r="B229" s="69"/>
    </row>
    <row r="230">
      <c r="A230" s="5" t="s">
        <v>88</v>
      </c>
      <c r="B230" s="63" t="s">
        <v>12</v>
      </c>
      <c r="C230" s="7">
        <f>(G230*F230)+(G234*F234)+(G236*F236)+(G239*F239)</f>
        <v>0.495673</v>
      </c>
      <c r="D230" s="7">
        <v>0.3</v>
      </c>
      <c r="E230" s="6" t="s">
        <v>13</v>
      </c>
      <c r="F230" s="7">
        <f>(J230*I230)+(J231*I231)+(J232*I232)+(J233*I233)</f>
        <v>0.51585</v>
      </c>
      <c r="G230" s="7">
        <v>0.3</v>
      </c>
      <c r="H230" s="8" t="s">
        <v>14</v>
      </c>
      <c r="I230" s="9">
        <v>0.49</v>
      </c>
      <c r="J230" s="10">
        <v>0.15</v>
      </c>
      <c r="K230" s="11">
        <f>(C230*D230)+(C241*D241)+(C252*D252)+(C256*D256)+(C263*D263)</f>
        <v>0.52889815</v>
      </c>
    </row>
    <row r="231">
      <c r="A231" s="13"/>
      <c r="B231" s="13"/>
      <c r="C231" s="13"/>
      <c r="D231" s="13"/>
      <c r="E231" s="13"/>
      <c r="F231" s="13"/>
      <c r="G231" s="13"/>
      <c r="H231" s="8" t="s">
        <v>15</v>
      </c>
      <c r="I231" s="9">
        <v>0.53</v>
      </c>
      <c r="J231" s="10">
        <v>0.5</v>
      </c>
      <c r="K231" s="13"/>
    </row>
    <row r="232">
      <c r="A232" s="13"/>
      <c r="B232" s="13"/>
      <c r="C232" s="13"/>
      <c r="D232" s="13"/>
      <c r="E232" s="13"/>
      <c r="F232" s="13"/>
      <c r="G232" s="13"/>
      <c r="H232" s="8" t="s">
        <v>16</v>
      </c>
      <c r="I232" s="14">
        <f>5.29/10</f>
        <v>0.529</v>
      </c>
      <c r="J232" s="10">
        <v>0.15</v>
      </c>
      <c r="K232" s="13"/>
    </row>
    <row r="233">
      <c r="A233" s="13"/>
      <c r="B233" s="13"/>
      <c r="C233" s="13"/>
      <c r="D233" s="13"/>
      <c r="E233" s="15"/>
      <c r="F233" s="15"/>
      <c r="G233" s="15"/>
      <c r="H233" s="8" t="s">
        <v>17</v>
      </c>
      <c r="I233" s="9">
        <v>0.49</v>
      </c>
      <c r="J233" s="10">
        <v>0.2</v>
      </c>
      <c r="K233" s="13"/>
    </row>
    <row r="234">
      <c r="A234" s="13"/>
      <c r="B234" s="13"/>
      <c r="C234" s="13"/>
      <c r="D234" s="13"/>
      <c r="E234" s="6" t="s">
        <v>18</v>
      </c>
      <c r="F234" s="7">
        <f>(J234*I234)+(I235*J235)</f>
        <v>0.4615</v>
      </c>
      <c r="G234" s="7">
        <v>0.25</v>
      </c>
      <c r="H234" s="8" t="s">
        <v>19</v>
      </c>
      <c r="I234" s="9">
        <v>0.4</v>
      </c>
      <c r="J234" s="10">
        <v>0.7</v>
      </c>
      <c r="K234" s="13"/>
    </row>
    <row r="235">
      <c r="A235" s="13"/>
      <c r="B235" s="13"/>
      <c r="C235" s="13"/>
      <c r="D235" s="13"/>
      <c r="E235" s="15"/>
      <c r="F235" s="15"/>
      <c r="G235" s="15"/>
      <c r="H235" s="8" t="s">
        <v>20</v>
      </c>
      <c r="I235" s="9">
        <f>2.42/4</f>
        <v>0.605</v>
      </c>
      <c r="J235" s="10">
        <v>0.3</v>
      </c>
      <c r="K235" s="13"/>
    </row>
    <row r="236">
      <c r="A236" s="13"/>
      <c r="B236" s="13"/>
      <c r="C236" s="13"/>
      <c r="D236" s="13"/>
      <c r="E236" s="6" t="s">
        <v>21</v>
      </c>
      <c r="F236" s="7">
        <f>(J236*I236)+(I237*J237)+(I238*J238)</f>
        <v>0.45681</v>
      </c>
      <c r="G236" s="7">
        <v>0.3</v>
      </c>
      <c r="H236" s="8" t="s">
        <v>22</v>
      </c>
      <c r="I236" s="14">
        <f>22.66/100</f>
        <v>0.2266</v>
      </c>
      <c r="J236" s="10">
        <v>0.35</v>
      </c>
      <c r="K236" s="13"/>
    </row>
    <row r="237">
      <c r="A237" s="13"/>
      <c r="B237" s="13"/>
      <c r="C237" s="13"/>
      <c r="D237" s="13"/>
      <c r="E237" s="13"/>
      <c r="F237" s="13"/>
      <c r="G237" s="13"/>
      <c r="H237" s="8" t="s">
        <v>23</v>
      </c>
      <c r="I237" s="9">
        <v>0.22</v>
      </c>
      <c r="J237" s="10">
        <v>0.3</v>
      </c>
      <c r="K237" s="13"/>
    </row>
    <row r="238">
      <c r="A238" s="13"/>
      <c r="B238" s="13"/>
      <c r="C238" s="13"/>
      <c r="D238" s="13"/>
      <c r="E238" s="15"/>
      <c r="F238" s="15"/>
      <c r="G238" s="15"/>
      <c r="H238" s="8" t="s">
        <v>24</v>
      </c>
      <c r="I238" s="9">
        <v>0.89</v>
      </c>
      <c r="J238" s="10">
        <v>0.35</v>
      </c>
      <c r="K238" s="13"/>
    </row>
    <row r="239">
      <c r="A239" s="13"/>
      <c r="B239" s="13"/>
      <c r="C239" s="13"/>
      <c r="D239" s="13"/>
      <c r="E239" s="6" t="s">
        <v>25</v>
      </c>
      <c r="F239" s="7">
        <f>(J239*I239)+(I240*J240)</f>
        <v>0.59</v>
      </c>
      <c r="G239" s="7">
        <v>0.15</v>
      </c>
      <c r="H239" s="8" t="s">
        <v>26</v>
      </c>
      <c r="I239" s="9">
        <v>0.44</v>
      </c>
      <c r="J239" s="10">
        <v>0.6</v>
      </c>
      <c r="K239" s="13"/>
    </row>
    <row r="240">
      <c r="A240" s="13"/>
      <c r="B240" s="15"/>
      <c r="C240" s="15"/>
      <c r="D240" s="15"/>
      <c r="E240" s="15"/>
      <c r="F240" s="15"/>
      <c r="G240" s="15"/>
      <c r="H240" s="16" t="s">
        <v>27</v>
      </c>
      <c r="I240" s="14">
        <f>3.26/4</f>
        <v>0.815</v>
      </c>
      <c r="J240" s="17">
        <v>0.4</v>
      </c>
      <c r="K240" s="13"/>
    </row>
    <row r="241">
      <c r="A241" s="13"/>
      <c r="B241" s="64" t="s">
        <v>28</v>
      </c>
      <c r="C241" s="19">
        <f>(G241*F241)+(F245*G245)+(F249*G249)</f>
        <v>0.4870875</v>
      </c>
      <c r="D241" s="19">
        <v>0.2</v>
      </c>
      <c r="E241" s="20" t="s">
        <v>29</v>
      </c>
      <c r="F241" s="19">
        <f>(J241*I241)+(J242*I242)+(J243*I243)+(J244*I244)</f>
        <v>0.23875</v>
      </c>
      <c r="G241" s="19">
        <v>0.35</v>
      </c>
      <c r="H241" s="21" t="s">
        <v>30</v>
      </c>
      <c r="I241" s="22">
        <v>0.4</v>
      </c>
      <c r="J241" s="23">
        <v>0.3</v>
      </c>
      <c r="K241" s="13"/>
    </row>
    <row r="242">
      <c r="A242" s="13"/>
      <c r="B242" s="13"/>
      <c r="C242" s="13"/>
      <c r="D242" s="13"/>
      <c r="E242" s="13"/>
      <c r="F242" s="13"/>
      <c r="G242" s="13"/>
      <c r="H242" s="21" t="s">
        <v>31</v>
      </c>
      <c r="I242" s="24">
        <f>0.3/4</f>
        <v>0.075</v>
      </c>
      <c r="J242" s="23">
        <v>0.2</v>
      </c>
      <c r="K242" s="13"/>
    </row>
    <row r="243">
      <c r="A243" s="13"/>
      <c r="B243" s="13"/>
      <c r="C243" s="13"/>
      <c r="D243" s="13"/>
      <c r="E243" s="13"/>
      <c r="F243" s="13"/>
      <c r="G243" s="13"/>
      <c r="H243" s="21" t="s">
        <v>32</v>
      </c>
      <c r="I243" s="22">
        <f>0.38/4</f>
        <v>0.095</v>
      </c>
      <c r="J243" s="23">
        <v>0.2</v>
      </c>
      <c r="K243" s="13"/>
    </row>
    <row r="244">
      <c r="A244" s="13"/>
      <c r="B244" s="13"/>
      <c r="C244" s="13"/>
      <c r="D244" s="13"/>
      <c r="E244" s="15"/>
      <c r="F244" s="15"/>
      <c r="G244" s="15"/>
      <c r="H244" s="21" t="s">
        <v>33</v>
      </c>
      <c r="I244" s="22">
        <f>1.13/4</f>
        <v>0.2825</v>
      </c>
      <c r="J244" s="23">
        <v>0.3</v>
      </c>
      <c r="K244" s="13"/>
    </row>
    <row r="245">
      <c r="A245" s="13"/>
      <c r="B245" s="13"/>
      <c r="C245" s="13"/>
      <c r="D245" s="13"/>
      <c r="E245" s="25" t="s">
        <v>34</v>
      </c>
      <c r="F245" s="19">
        <f>(J245*I245)+(J246*I246)+(J247*I247)+(J248*I248)</f>
        <v>0.721</v>
      </c>
      <c r="G245" s="19">
        <v>0.4</v>
      </c>
      <c r="H245" s="21" t="s">
        <v>35</v>
      </c>
      <c r="I245" s="22">
        <v>0.645</v>
      </c>
      <c r="J245" s="23">
        <v>0.5</v>
      </c>
      <c r="K245" s="13"/>
    </row>
    <row r="246">
      <c r="A246" s="13"/>
      <c r="B246" s="13"/>
      <c r="C246" s="13"/>
      <c r="D246" s="13"/>
      <c r="E246" s="13"/>
      <c r="F246" s="13"/>
      <c r="G246" s="13"/>
      <c r="H246" s="21" t="s">
        <v>36</v>
      </c>
      <c r="I246" s="22">
        <f>(100-13)/100</f>
        <v>0.87</v>
      </c>
      <c r="J246" s="23">
        <v>0.3</v>
      </c>
      <c r="K246" s="13"/>
    </row>
    <row r="247">
      <c r="A247" s="13"/>
      <c r="B247" s="13"/>
      <c r="C247" s="13"/>
      <c r="D247" s="13"/>
      <c r="E247" s="13"/>
      <c r="F247" s="13"/>
      <c r="G247" s="13"/>
      <c r="H247" s="26" t="s">
        <v>37</v>
      </c>
      <c r="I247" s="27">
        <f>2.75/4</f>
        <v>0.6875</v>
      </c>
      <c r="J247" s="19">
        <v>0.2</v>
      </c>
      <c r="K247" s="13"/>
    </row>
    <row r="248">
      <c r="A248" s="13"/>
      <c r="B248" s="13"/>
      <c r="C248" s="13"/>
      <c r="D248" s="13"/>
      <c r="E248" s="15"/>
      <c r="F248" s="15"/>
      <c r="G248" s="15"/>
      <c r="H248" s="15"/>
      <c r="I248" s="15"/>
      <c r="J248" s="15"/>
      <c r="K248" s="13"/>
    </row>
    <row r="249">
      <c r="A249" s="13"/>
      <c r="B249" s="13"/>
      <c r="C249" s="13"/>
      <c r="D249" s="13"/>
      <c r="E249" s="25" t="s">
        <v>38</v>
      </c>
      <c r="F249" s="19">
        <f>(J249*I249)+(I250*J250)+(I251*J251)</f>
        <v>0.4605</v>
      </c>
      <c r="G249" s="19">
        <v>0.25</v>
      </c>
      <c r="H249" s="21" t="s">
        <v>39</v>
      </c>
      <c r="I249" s="24">
        <f>(100-45.7)/100</f>
        <v>0.543</v>
      </c>
      <c r="J249" s="23">
        <v>0.25</v>
      </c>
      <c r="K249" s="13"/>
    </row>
    <row r="250">
      <c r="A250" s="13"/>
      <c r="B250" s="13"/>
      <c r="C250" s="13"/>
      <c r="D250" s="13"/>
      <c r="E250" s="13"/>
      <c r="F250" s="13"/>
      <c r="G250" s="13"/>
      <c r="H250" s="21" t="s">
        <v>40</v>
      </c>
      <c r="I250" s="22">
        <f>1.8/4</f>
        <v>0.45</v>
      </c>
      <c r="J250" s="23">
        <v>0.5</v>
      </c>
      <c r="K250" s="13"/>
    </row>
    <row r="251">
      <c r="A251" s="13"/>
      <c r="B251" s="15"/>
      <c r="C251" s="15"/>
      <c r="D251" s="15"/>
      <c r="E251" s="15"/>
      <c r="F251" s="15"/>
      <c r="G251" s="15"/>
      <c r="H251" s="21" t="s">
        <v>41</v>
      </c>
      <c r="I251" s="24">
        <f>(100-60.1)/100</f>
        <v>0.399</v>
      </c>
      <c r="J251" s="23">
        <v>0.25</v>
      </c>
      <c r="K251" s="13"/>
    </row>
    <row r="252">
      <c r="A252" s="13"/>
      <c r="B252" s="65" t="s">
        <v>42</v>
      </c>
      <c r="C252" s="29">
        <f>(G252*F252)+(F254*G254)</f>
        <v>0.4846</v>
      </c>
      <c r="D252" s="29">
        <v>0.2</v>
      </c>
      <c r="E252" s="30" t="s">
        <v>43</v>
      </c>
      <c r="F252" s="29">
        <f>(J252*I252)+(I253*J253)</f>
        <v>0.566</v>
      </c>
      <c r="G252" s="29">
        <v>0.45</v>
      </c>
      <c r="H252" s="31" t="s">
        <v>44</v>
      </c>
      <c r="I252" s="32">
        <v>0.67</v>
      </c>
      <c r="J252" s="33">
        <v>0.6</v>
      </c>
      <c r="K252" s="13"/>
    </row>
    <row r="253">
      <c r="A253" s="13"/>
      <c r="B253" s="13"/>
      <c r="C253" s="13"/>
      <c r="D253" s="13"/>
      <c r="E253" s="15"/>
      <c r="F253" s="15"/>
      <c r="G253" s="15"/>
      <c r="H253" s="31" t="s">
        <v>45</v>
      </c>
      <c r="I253" s="34">
        <f>1.23/3</f>
        <v>0.41</v>
      </c>
      <c r="J253" s="33">
        <v>0.4</v>
      </c>
      <c r="K253" s="13"/>
    </row>
    <row r="254">
      <c r="A254" s="13"/>
      <c r="B254" s="13"/>
      <c r="C254" s="13"/>
      <c r="D254" s="13"/>
      <c r="E254" s="30" t="s">
        <v>46</v>
      </c>
      <c r="F254" s="29">
        <f>(J254*I254)+(I255*J255)</f>
        <v>0.418</v>
      </c>
      <c r="G254" s="29">
        <v>0.55</v>
      </c>
      <c r="H254" s="31" t="s">
        <v>47</v>
      </c>
      <c r="I254" s="32">
        <v>0.43</v>
      </c>
      <c r="J254" s="33">
        <v>0.6</v>
      </c>
      <c r="K254" s="13"/>
    </row>
    <row r="255">
      <c r="A255" s="13"/>
      <c r="B255" s="15"/>
      <c r="C255" s="15"/>
      <c r="D255" s="15"/>
      <c r="E255" s="15"/>
      <c r="F255" s="15"/>
      <c r="G255" s="15"/>
      <c r="H255" s="31" t="s">
        <v>48</v>
      </c>
      <c r="I255" s="32">
        <v>0.4</v>
      </c>
      <c r="J255" s="33">
        <v>0.4</v>
      </c>
      <c r="K255" s="13"/>
    </row>
    <row r="256">
      <c r="A256" s="13"/>
      <c r="B256" s="66" t="s">
        <v>49</v>
      </c>
      <c r="C256" s="36">
        <f>(F256*G256)+(F260*G260)</f>
        <v>0.59609375</v>
      </c>
      <c r="D256" s="36">
        <v>0.2</v>
      </c>
      <c r="E256" s="37" t="s">
        <v>50</v>
      </c>
      <c r="F256" s="36">
        <f>(J256*I256)+(J257*I257)+(J258*I258)+(J259*I259)</f>
        <v>0.639125</v>
      </c>
      <c r="G256" s="36">
        <v>0.55</v>
      </c>
      <c r="H256" s="38" t="s">
        <v>51</v>
      </c>
      <c r="I256" s="39">
        <v>0.35</v>
      </c>
      <c r="J256" s="40">
        <v>0.35</v>
      </c>
      <c r="K256" s="13"/>
    </row>
    <row r="257">
      <c r="A257" s="13"/>
      <c r="B257" s="13"/>
      <c r="C257" s="13"/>
      <c r="D257" s="13"/>
      <c r="E257" s="13"/>
      <c r="F257" s="13"/>
      <c r="G257" s="13"/>
      <c r="H257" s="38" t="s">
        <v>52</v>
      </c>
      <c r="I257" s="41">
        <f>2.6/4</f>
        <v>0.65</v>
      </c>
      <c r="J257" s="40">
        <v>0.35</v>
      </c>
      <c r="K257" s="13"/>
    </row>
    <row r="258">
      <c r="A258" s="13"/>
      <c r="B258" s="13"/>
      <c r="C258" s="13"/>
      <c r="D258" s="13"/>
      <c r="E258" s="13"/>
      <c r="F258" s="13"/>
      <c r="G258" s="13"/>
      <c r="H258" s="38" t="s">
        <v>53</v>
      </c>
      <c r="I258" s="41">
        <f>3.71/4</f>
        <v>0.9275</v>
      </c>
      <c r="J258" s="40">
        <v>0.15</v>
      </c>
      <c r="K258" s="13"/>
    </row>
    <row r="259">
      <c r="A259" s="13"/>
      <c r="B259" s="13"/>
      <c r="C259" s="13"/>
      <c r="D259" s="13"/>
      <c r="E259" s="15"/>
      <c r="F259" s="15"/>
      <c r="G259" s="15"/>
      <c r="H259" s="38" t="s">
        <v>54</v>
      </c>
      <c r="I259" s="39">
        <v>1.0</v>
      </c>
      <c r="J259" s="40">
        <v>0.15</v>
      </c>
      <c r="K259" s="13"/>
    </row>
    <row r="260">
      <c r="A260" s="13"/>
      <c r="B260" s="13"/>
      <c r="C260" s="13"/>
      <c r="D260" s="13"/>
      <c r="E260" s="35" t="s">
        <v>55</v>
      </c>
      <c r="F260" s="36">
        <f>(J260*I260)+(I261*J261)+(I262*J262)</f>
        <v>0.5435</v>
      </c>
      <c r="G260" s="36">
        <v>0.45</v>
      </c>
      <c r="H260" s="38" t="s">
        <v>56</v>
      </c>
      <c r="I260" s="39">
        <f>1.43/4</f>
        <v>0.3575</v>
      </c>
      <c r="J260" s="40">
        <v>0.3</v>
      </c>
      <c r="K260" s="13"/>
    </row>
    <row r="261">
      <c r="A261" s="13"/>
      <c r="B261" s="13"/>
      <c r="C261" s="13"/>
      <c r="D261" s="13"/>
      <c r="E261" s="13"/>
      <c r="F261" s="13"/>
      <c r="G261" s="13"/>
      <c r="H261" s="38" t="s">
        <v>57</v>
      </c>
      <c r="I261" s="41">
        <f>1.51/4</f>
        <v>0.3775</v>
      </c>
      <c r="J261" s="40">
        <v>0.3</v>
      </c>
      <c r="K261" s="13"/>
    </row>
    <row r="262">
      <c r="A262" s="13"/>
      <c r="B262" s="15"/>
      <c r="C262" s="15"/>
      <c r="D262" s="15"/>
      <c r="E262" s="15"/>
      <c r="F262" s="15"/>
      <c r="G262" s="15"/>
      <c r="H262" s="38" t="s">
        <v>58</v>
      </c>
      <c r="I262" s="41">
        <f>3.23/4</f>
        <v>0.8075</v>
      </c>
      <c r="J262" s="40">
        <v>0.4</v>
      </c>
      <c r="K262" s="13"/>
    </row>
    <row r="263">
      <c r="A263" s="13"/>
      <c r="B263" s="67" t="s">
        <v>59</v>
      </c>
      <c r="C263" s="43">
        <f>(F263*G263)+(F265*G265)</f>
        <v>0.6664</v>
      </c>
      <c r="D263" s="43">
        <v>0.1</v>
      </c>
      <c r="E263" s="42" t="s">
        <v>60</v>
      </c>
      <c r="F263" s="43">
        <f>(J263*I263)+(I264*J264)</f>
        <v>0.5</v>
      </c>
      <c r="G263" s="43">
        <v>0.6</v>
      </c>
      <c r="H263" s="44" t="s">
        <v>61</v>
      </c>
      <c r="I263" s="45">
        <v>1.0</v>
      </c>
      <c r="J263" s="46">
        <v>0.5</v>
      </c>
      <c r="K263" s="13"/>
    </row>
    <row r="264">
      <c r="A264" s="13"/>
      <c r="B264" s="13"/>
      <c r="C264" s="13"/>
      <c r="D264" s="13"/>
      <c r="E264" s="15"/>
      <c r="F264" s="15"/>
      <c r="G264" s="15"/>
      <c r="H264" s="44" t="s">
        <v>62</v>
      </c>
      <c r="I264" s="68">
        <v>0.0</v>
      </c>
      <c r="J264" s="46">
        <v>0.5</v>
      </c>
      <c r="K264" s="13"/>
    </row>
    <row r="265">
      <c r="A265" s="13"/>
      <c r="B265" s="13"/>
      <c r="C265" s="13"/>
      <c r="D265" s="13"/>
      <c r="E265" s="42" t="s">
        <v>63</v>
      </c>
      <c r="F265" s="43">
        <f>(J265*I265)+(I266*J266)</f>
        <v>0.916</v>
      </c>
      <c r="G265" s="43">
        <v>0.4</v>
      </c>
      <c r="H265" s="44" t="s">
        <v>64</v>
      </c>
      <c r="I265" s="45">
        <v>1.0</v>
      </c>
      <c r="J265" s="47">
        <v>0.6</v>
      </c>
      <c r="K265" s="13"/>
    </row>
    <row r="266">
      <c r="A266" s="15"/>
      <c r="B266" s="15"/>
      <c r="C266" s="15"/>
      <c r="D266" s="15"/>
      <c r="E266" s="15"/>
      <c r="F266" s="15"/>
      <c r="G266" s="15"/>
      <c r="H266" s="44" t="s">
        <v>65</v>
      </c>
      <c r="I266" s="45">
        <f>79/100</f>
        <v>0.79</v>
      </c>
      <c r="J266" s="47">
        <v>0.4</v>
      </c>
      <c r="K266" s="15"/>
    </row>
    <row r="267">
      <c r="B267" s="69"/>
    </row>
    <row r="268">
      <c r="A268" s="5" t="s">
        <v>89</v>
      </c>
      <c r="B268" s="63" t="s">
        <v>12</v>
      </c>
      <c r="C268" s="7">
        <f>(G268*F268)+(G272*F272)+(G274*F274)+(G277*F277)</f>
        <v>0.435993</v>
      </c>
      <c r="D268" s="7">
        <v>0.3</v>
      </c>
      <c r="E268" s="6" t="s">
        <v>13</v>
      </c>
      <c r="F268" s="7">
        <f>(J268*I268)+(J269*I269)+(J270*I270)+(J271*I271)</f>
        <v>0.38085</v>
      </c>
      <c r="G268" s="7">
        <v>0.3</v>
      </c>
      <c r="H268" s="8" t="s">
        <v>14</v>
      </c>
      <c r="I268" s="9">
        <v>0.36</v>
      </c>
      <c r="J268" s="10">
        <v>0.15</v>
      </c>
      <c r="K268" s="11">
        <f>(C268*D268)+(C279*D279)+(C290*D290)+(C294*D294)+(C301*D301)</f>
        <v>0.53539415</v>
      </c>
    </row>
    <row r="269">
      <c r="A269" s="13"/>
      <c r="B269" s="13"/>
      <c r="C269" s="13"/>
      <c r="D269" s="13"/>
      <c r="E269" s="13"/>
      <c r="F269" s="13"/>
      <c r="G269" s="13"/>
      <c r="H269" s="8" t="s">
        <v>15</v>
      </c>
      <c r="I269" s="9">
        <v>0.35</v>
      </c>
      <c r="J269" s="10">
        <v>0.5</v>
      </c>
      <c r="K269" s="13"/>
    </row>
    <row r="270">
      <c r="A270" s="13"/>
      <c r="B270" s="13"/>
      <c r="C270" s="13"/>
      <c r="D270" s="13"/>
      <c r="E270" s="13"/>
      <c r="F270" s="13"/>
      <c r="G270" s="13"/>
      <c r="H270" s="8" t="s">
        <v>16</v>
      </c>
      <c r="I270" s="14">
        <f>5.59/10</f>
        <v>0.559</v>
      </c>
      <c r="J270" s="10">
        <v>0.15</v>
      </c>
      <c r="K270" s="13"/>
    </row>
    <row r="271">
      <c r="A271" s="13"/>
      <c r="B271" s="13"/>
      <c r="C271" s="13"/>
      <c r="D271" s="13"/>
      <c r="E271" s="15"/>
      <c r="F271" s="15"/>
      <c r="G271" s="15"/>
      <c r="H271" s="8" t="s">
        <v>17</v>
      </c>
      <c r="I271" s="9">
        <v>0.34</v>
      </c>
      <c r="J271" s="10">
        <v>0.2</v>
      </c>
      <c r="K271" s="13"/>
    </row>
    <row r="272">
      <c r="A272" s="13"/>
      <c r="B272" s="13"/>
      <c r="C272" s="13"/>
      <c r="D272" s="13"/>
      <c r="E272" s="6" t="s">
        <v>18</v>
      </c>
      <c r="F272" s="7">
        <f>(J272*I272)+(I273*J273)</f>
        <v>0.49875</v>
      </c>
      <c r="G272" s="7">
        <v>0.25</v>
      </c>
      <c r="H272" s="8" t="s">
        <v>19</v>
      </c>
      <c r="I272" s="9">
        <v>0.6</v>
      </c>
      <c r="J272" s="10">
        <v>0.7</v>
      </c>
      <c r="K272" s="13"/>
    </row>
    <row r="273">
      <c r="A273" s="13"/>
      <c r="B273" s="13"/>
      <c r="C273" s="13"/>
      <c r="D273" s="13"/>
      <c r="E273" s="15"/>
      <c r="F273" s="15"/>
      <c r="G273" s="15"/>
      <c r="H273" s="8" t="s">
        <v>20</v>
      </c>
      <c r="I273" s="9">
        <f>1.05/4</f>
        <v>0.2625</v>
      </c>
      <c r="J273" s="10">
        <v>0.3</v>
      </c>
      <c r="K273" s="13"/>
    </row>
    <row r="274">
      <c r="A274" s="13"/>
      <c r="B274" s="13"/>
      <c r="C274" s="13"/>
      <c r="D274" s="13"/>
      <c r="E274" s="6" t="s">
        <v>21</v>
      </c>
      <c r="F274" s="7">
        <f>(J274*I274)+(I275*J275)+(I276*J276)</f>
        <v>0.426835</v>
      </c>
      <c r="G274" s="7">
        <v>0.3</v>
      </c>
      <c r="H274" s="8" t="s">
        <v>22</v>
      </c>
      <c r="I274" s="14">
        <f>28.81/100</f>
        <v>0.2881</v>
      </c>
      <c r="J274" s="10">
        <v>0.35</v>
      </c>
      <c r="K274" s="13"/>
    </row>
    <row r="275">
      <c r="A275" s="13"/>
      <c r="B275" s="13"/>
      <c r="C275" s="13"/>
      <c r="D275" s="13"/>
      <c r="E275" s="13"/>
      <c r="F275" s="13"/>
      <c r="G275" s="13"/>
      <c r="H275" s="8" t="s">
        <v>23</v>
      </c>
      <c r="I275" s="9">
        <v>0.27</v>
      </c>
      <c r="J275" s="10">
        <v>0.3</v>
      </c>
      <c r="K275" s="13"/>
    </row>
    <row r="276">
      <c r="A276" s="13"/>
      <c r="B276" s="13"/>
      <c r="C276" s="13"/>
      <c r="D276" s="13"/>
      <c r="E276" s="15"/>
      <c r="F276" s="15"/>
      <c r="G276" s="15"/>
      <c r="H276" s="8" t="s">
        <v>24</v>
      </c>
      <c r="I276" s="9">
        <v>0.7</v>
      </c>
      <c r="J276" s="10">
        <v>0.35</v>
      </c>
      <c r="K276" s="13"/>
    </row>
    <row r="277">
      <c r="A277" s="13"/>
      <c r="B277" s="13"/>
      <c r="C277" s="13"/>
      <c r="D277" s="13"/>
      <c r="E277" s="6" t="s">
        <v>25</v>
      </c>
      <c r="F277" s="7">
        <f>(J277*I277)+(I278*J278)</f>
        <v>0.46</v>
      </c>
      <c r="G277" s="7">
        <v>0.15</v>
      </c>
      <c r="H277" s="8" t="s">
        <v>26</v>
      </c>
      <c r="I277" s="9">
        <v>0.56</v>
      </c>
      <c r="J277" s="10">
        <v>0.6</v>
      </c>
      <c r="K277" s="13"/>
    </row>
    <row r="278">
      <c r="A278" s="13"/>
      <c r="B278" s="15"/>
      <c r="C278" s="15"/>
      <c r="D278" s="15"/>
      <c r="E278" s="15"/>
      <c r="F278" s="15"/>
      <c r="G278" s="15"/>
      <c r="H278" s="16" t="s">
        <v>27</v>
      </c>
      <c r="I278" s="14">
        <f>1.24/4</f>
        <v>0.31</v>
      </c>
      <c r="J278" s="17">
        <v>0.4</v>
      </c>
      <c r="K278" s="13"/>
    </row>
    <row r="279">
      <c r="A279" s="13"/>
      <c r="B279" s="64" t="s">
        <v>28</v>
      </c>
      <c r="C279" s="19">
        <f>(G279*F279)+(F283*G283)+(F287*G287)</f>
        <v>0.5932625</v>
      </c>
      <c r="D279" s="19">
        <v>0.2</v>
      </c>
      <c r="E279" s="20" t="s">
        <v>29</v>
      </c>
      <c r="F279" s="19">
        <f>(J279*I279)+(J280*I280)+(J281*I281)+(J282*I282)</f>
        <v>0.3785</v>
      </c>
      <c r="G279" s="19">
        <v>0.35</v>
      </c>
      <c r="H279" s="21" t="s">
        <v>30</v>
      </c>
      <c r="I279" s="22">
        <v>0.6</v>
      </c>
      <c r="J279" s="23">
        <v>0.3</v>
      </c>
      <c r="K279" s="13"/>
    </row>
    <row r="280">
      <c r="A280" s="13"/>
      <c r="B280" s="13"/>
      <c r="C280" s="13"/>
      <c r="D280" s="13"/>
      <c r="E280" s="13"/>
      <c r="F280" s="13"/>
      <c r="G280" s="13"/>
      <c r="H280" s="21" t="s">
        <v>31</v>
      </c>
      <c r="I280" s="24">
        <f>1.08/4</f>
        <v>0.27</v>
      </c>
      <c r="J280" s="23">
        <v>0.2</v>
      </c>
      <c r="K280" s="13"/>
    </row>
    <row r="281">
      <c r="A281" s="13"/>
      <c r="B281" s="13"/>
      <c r="C281" s="13"/>
      <c r="D281" s="13"/>
      <c r="E281" s="13"/>
      <c r="F281" s="13"/>
      <c r="G281" s="13"/>
      <c r="H281" s="21" t="s">
        <v>32</v>
      </c>
      <c r="I281" s="22">
        <f>0.91/4</f>
        <v>0.2275</v>
      </c>
      <c r="J281" s="23">
        <v>0.2</v>
      </c>
      <c r="K281" s="13"/>
    </row>
    <row r="282">
      <c r="A282" s="13"/>
      <c r="B282" s="13"/>
      <c r="C282" s="13"/>
      <c r="D282" s="13"/>
      <c r="E282" s="15"/>
      <c r="F282" s="15"/>
      <c r="G282" s="15"/>
      <c r="H282" s="21" t="s">
        <v>33</v>
      </c>
      <c r="I282" s="22">
        <f>1.32/4</f>
        <v>0.33</v>
      </c>
      <c r="J282" s="23">
        <v>0.3</v>
      </c>
      <c r="K282" s="13"/>
    </row>
    <row r="283">
      <c r="A283" s="13"/>
      <c r="B283" s="13"/>
      <c r="C283" s="13"/>
      <c r="D283" s="13"/>
      <c r="E283" s="25" t="s">
        <v>34</v>
      </c>
      <c r="F283" s="19">
        <f>(J283*I283)+(J284*I284)+(J285*I285)+(J286*I286)</f>
        <v>0.7765</v>
      </c>
      <c r="G283" s="19">
        <v>0.4</v>
      </c>
      <c r="H283" s="21" t="s">
        <v>35</v>
      </c>
      <c r="I283" s="22">
        <v>0.789</v>
      </c>
      <c r="J283" s="23">
        <v>0.5</v>
      </c>
      <c r="K283" s="13"/>
    </row>
    <row r="284">
      <c r="A284" s="13"/>
      <c r="B284" s="13"/>
      <c r="C284" s="13"/>
      <c r="D284" s="13"/>
      <c r="E284" s="13"/>
      <c r="F284" s="13"/>
      <c r="G284" s="13"/>
      <c r="H284" s="21" t="s">
        <v>36</v>
      </c>
      <c r="I284" s="22">
        <f>(100-12)/100</f>
        <v>0.88</v>
      </c>
      <c r="J284" s="23">
        <v>0.3</v>
      </c>
      <c r="K284" s="13"/>
    </row>
    <row r="285">
      <c r="A285" s="13"/>
      <c r="B285" s="13"/>
      <c r="C285" s="13"/>
      <c r="D285" s="13"/>
      <c r="E285" s="13"/>
      <c r="F285" s="13"/>
      <c r="G285" s="13"/>
      <c r="H285" s="26" t="s">
        <v>37</v>
      </c>
      <c r="I285" s="27">
        <f>2.36/4</f>
        <v>0.59</v>
      </c>
      <c r="J285" s="19">
        <v>0.2</v>
      </c>
      <c r="K285" s="13"/>
    </row>
    <row r="286">
      <c r="A286" s="13"/>
      <c r="B286" s="13"/>
      <c r="C286" s="13"/>
      <c r="D286" s="13"/>
      <c r="E286" s="15"/>
      <c r="F286" s="15"/>
      <c r="G286" s="15"/>
      <c r="H286" s="15"/>
      <c r="I286" s="15"/>
      <c r="J286" s="15"/>
      <c r="K286" s="13"/>
    </row>
    <row r="287">
      <c r="A287" s="13"/>
      <c r="B287" s="13"/>
      <c r="C287" s="13"/>
      <c r="D287" s="13"/>
      <c r="E287" s="25" t="s">
        <v>38</v>
      </c>
      <c r="F287" s="19">
        <f>(J287*I287)+(I288*J288)+(I289*J289)</f>
        <v>0.60075</v>
      </c>
      <c r="G287" s="19">
        <v>0.25</v>
      </c>
      <c r="H287" s="21" t="s">
        <v>39</v>
      </c>
      <c r="I287" s="24">
        <f>(100-42.6)/100</f>
        <v>0.574</v>
      </c>
      <c r="J287" s="23">
        <v>0.25</v>
      </c>
      <c r="K287" s="13"/>
    </row>
    <row r="288">
      <c r="A288" s="13"/>
      <c r="B288" s="13"/>
      <c r="C288" s="13"/>
      <c r="D288" s="13"/>
      <c r="E288" s="13"/>
      <c r="F288" s="13"/>
      <c r="G288" s="13"/>
      <c r="H288" s="21" t="s">
        <v>40</v>
      </c>
      <c r="I288" s="22">
        <f>2.25/4</f>
        <v>0.5625</v>
      </c>
      <c r="J288" s="23">
        <v>0.5</v>
      </c>
      <c r="K288" s="13"/>
    </row>
    <row r="289">
      <c r="A289" s="13"/>
      <c r="B289" s="15"/>
      <c r="C289" s="15"/>
      <c r="D289" s="15"/>
      <c r="E289" s="15"/>
      <c r="F289" s="15"/>
      <c r="G289" s="15"/>
      <c r="H289" s="21" t="s">
        <v>41</v>
      </c>
      <c r="I289" s="24">
        <f>(100-29.6)/100</f>
        <v>0.704</v>
      </c>
      <c r="J289" s="23">
        <v>0.25</v>
      </c>
      <c r="K289" s="13"/>
    </row>
    <row r="290">
      <c r="A290" s="13"/>
      <c r="B290" s="65" t="s">
        <v>42</v>
      </c>
      <c r="C290" s="29">
        <f>(G290*F290)+(F292*G292)</f>
        <v>0.4859</v>
      </c>
      <c r="D290" s="29">
        <v>0.2</v>
      </c>
      <c r="E290" s="30" t="s">
        <v>43</v>
      </c>
      <c r="F290" s="29">
        <f>(J290*I290)+(I291*J291)</f>
        <v>0.4906666667</v>
      </c>
      <c r="G290" s="29">
        <v>0.45</v>
      </c>
      <c r="H290" s="31" t="s">
        <v>44</v>
      </c>
      <c r="I290" s="32">
        <v>0.54</v>
      </c>
      <c r="J290" s="33">
        <v>0.6</v>
      </c>
      <c r="K290" s="13"/>
    </row>
    <row r="291">
      <c r="A291" s="13"/>
      <c r="B291" s="13"/>
      <c r="C291" s="13"/>
      <c r="D291" s="13"/>
      <c r="E291" s="15"/>
      <c r="F291" s="15"/>
      <c r="G291" s="15"/>
      <c r="H291" s="31" t="s">
        <v>45</v>
      </c>
      <c r="I291" s="34">
        <f>1.25/3</f>
        <v>0.4166666667</v>
      </c>
      <c r="J291" s="33">
        <v>0.4</v>
      </c>
      <c r="K291" s="13"/>
    </row>
    <row r="292">
      <c r="A292" s="13"/>
      <c r="B292" s="13"/>
      <c r="C292" s="13"/>
      <c r="D292" s="13"/>
      <c r="E292" s="30" t="s">
        <v>46</v>
      </c>
      <c r="F292" s="29">
        <f>(J292*I292)+(I293*J293)</f>
        <v>0.482</v>
      </c>
      <c r="G292" s="29">
        <v>0.55</v>
      </c>
      <c r="H292" s="31" t="s">
        <v>47</v>
      </c>
      <c r="I292" s="32">
        <v>0.47</v>
      </c>
      <c r="J292" s="33">
        <v>0.6</v>
      </c>
      <c r="K292" s="13"/>
    </row>
    <row r="293">
      <c r="A293" s="13"/>
      <c r="B293" s="15"/>
      <c r="C293" s="15"/>
      <c r="D293" s="15"/>
      <c r="E293" s="15"/>
      <c r="F293" s="15"/>
      <c r="G293" s="15"/>
      <c r="H293" s="31" t="s">
        <v>48</v>
      </c>
      <c r="I293" s="32">
        <v>0.5</v>
      </c>
      <c r="J293" s="33">
        <v>0.4</v>
      </c>
      <c r="K293" s="13"/>
    </row>
    <row r="294">
      <c r="A294" s="13"/>
      <c r="B294" s="66" t="s">
        <v>49</v>
      </c>
      <c r="C294" s="36">
        <f>(F294*G294)+(F298*G298)</f>
        <v>0.69381875</v>
      </c>
      <c r="D294" s="36">
        <v>0.2</v>
      </c>
      <c r="E294" s="37" t="s">
        <v>50</v>
      </c>
      <c r="F294" s="36">
        <f>(J294*I294)+(J295*I295)+(J296*I296)+(J297*I297)</f>
        <v>0.711875</v>
      </c>
      <c r="G294" s="36">
        <v>0.55</v>
      </c>
      <c r="H294" s="38" t="s">
        <v>51</v>
      </c>
      <c r="I294" s="39">
        <v>0.55</v>
      </c>
      <c r="J294" s="40">
        <v>0.35</v>
      </c>
      <c r="K294" s="13"/>
    </row>
    <row r="295">
      <c r="A295" s="13"/>
      <c r="B295" s="13"/>
      <c r="C295" s="13"/>
      <c r="D295" s="13"/>
      <c r="E295" s="13"/>
      <c r="F295" s="13"/>
      <c r="G295" s="13"/>
      <c r="H295" s="38" t="s">
        <v>52</v>
      </c>
      <c r="I295" s="41">
        <f>3/4</f>
        <v>0.75</v>
      </c>
      <c r="J295" s="40">
        <v>0.35</v>
      </c>
      <c r="K295" s="13"/>
    </row>
    <row r="296">
      <c r="A296" s="13"/>
      <c r="B296" s="13"/>
      <c r="C296" s="13"/>
      <c r="D296" s="13"/>
      <c r="E296" s="13"/>
      <c r="F296" s="13"/>
      <c r="G296" s="13"/>
      <c r="H296" s="38" t="s">
        <v>53</v>
      </c>
      <c r="I296" s="41">
        <f>2.85/4</f>
        <v>0.7125</v>
      </c>
      <c r="J296" s="40">
        <v>0.15</v>
      </c>
      <c r="K296" s="13"/>
    </row>
    <row r="297">
      <c r="A297" s="13"/>
      <c r="B297" s="13"/>
      <c r="C297" s="13"/>
      <c r="D297" s="13"/>
      <c r="E297" s="15"/>
      <c r="F297" s="15"/>
      <c r="G297" s="15"/>
      <c r="H297" s="38" t="s">
        <v>54</v>
      </c>
      <c r="I297" s="39">
        <v>1.0</v>
      </c>
      <c r="J297" s="40">
        <v>0.15</v>
      </c>
      <c r="K297" s="13"/>
    </row>
    <row r="298">
      <c r="A298" s="13"/>
      <c r="B298" s="13"/>
      <c r="C298" s="13"/>
      <c r="D298" s="13"/>
      <c r="E298" s="35" t="s">
        <v>55</v>
      </c>
      <c r="F298" s="36">
        <f>(J298*I298)+(I299*J299)+(I300*J300)</f>
        <v>0.67175</v>
      </c>
      <c r="G298" s="36">
        <v>0.45</v>
      </c>
      <c r="H298" s="38" t="s">
        <v>56</v>
      </c>
      <c r="I298" s="39">
        <f>1.5/4</f>
        <v>0.375</v>
      </c>
      <c r="J298" s="40">
        <v>0.3</v>
      </c>
      <c r="K298" s="13"/>
    </row>
    <row r="299">
      <c r="A299" s="13"/>
      <c r="B299" s="13"/>
      <c r="C299" s="13"/>
      <c r="D299" s="13"/>
      <c r="E299" s="13"/>
      <c r="F299" s="13"/>
      <c r="G299" s="13"/>
      <c r="H299" s="38" t="s">
        <v>57</v>
      </c>
      <c r="I299" s="41">
        <f>3.91/4</f>
        <v>0.9775</v>
      </c>
      <c r="J299" s="40">
        <v>0.3</v>
      </c>
      <c r="K299" s="13"/>
    </row>
    <row r="300">
      <c r="A300" s="13"/>
      <c r="B300" s="15"/>
      <c r="C300" s="15"/>
      <c r="D300" s="15"/>
      <c r="E300" s="15"/>
      <c r="F300" s="15"/>
      <c r="G300" s="15"/>
      <c r="H300" s="38" t="s">
        <v>58</v>
      </c>
      <c r="I300" s="41">
        <f>2.66/4</f>
        <v>0.665</v>
      </c>
      <c r="J300" s="40">
        <v>0.4</v>
      </c>
      <c r="K300" s="13"/>
    </row>
    <row r="301">
      <c r="A301" s="13"/>
      <c r="B301" s="67" t="s">
        <v>59</v>
      </c>
      <c r="C301" s="43">
        <f>(F301*G301)+(F303*G303)</f>
        <v>0.5</v>
      </c>
      <c r="D301" s="43">
        <v>0.1</v>
      </c>
      <c r="E301" s="42" t="s">
        <v>60</v>
      </c>
      <c r="F301" s="43">
        <f>(J301*I301)+(I302*J302)</f>
        <v>0.1666666667</v>
      </c>
      <c r="G301" s="43">
        <v>0.6</v>
      </c>
      <c r="H301" s="44" t="s">
        <v>61</v>
      </c>
      <c r="I301" s="45">
        <v>0.0</v>
      </c>
      <c r="J301" s="46">
        <v>0.5</v>
      </c>
      <c r="K301" s="13"/>
    </row>
    <row r="302">
      <c r="A302" s="13"/>
      <c r="B302" s="13"/>
      <c r="C302" s="13"/>
      <c r="D302" s="13"/>
      <c r="E302" s="15"/>
      <c r="F302" s="15"/>
      <c r="G302" s="15"/>
      <c r="H302" s="44" t="s">
        <v>62</v>
      </c>
      <c r="I302" s="51">
        <f>1/3</f>
        <v>0.3333333333</v>
      </c>
      <c r="J302" s="46">
        <v>0.5</v>
      </c>
      <c r="K302" s="13"/>
    </row>
    <row r="303">
      <c r="A303" s="13"/>
      <c r="B303" s="13"/>
      <c r="C303" s="13"/>
      <c r="D303" s="13"/>
      <c r="E303" s="42" t="s">
        <v>63</v>
      </c>
      <c r="F303" s="43">
        <f>(J303*I303)+(I304*J304)</f>
        <v>1</v>
      </c>
      <c r="G303" s="43">
        <v>0.4</v>
      </c>
      <c r="H303" s="44" t="s">
        <v>64</v>
      </c>
      <c r="I303" s="45">
        <v>1.0</v>
      </c>
      <c r="J303" s="47">
        <v>0.6</v>
      </c>
      <c r="K303" s="13"/>
    </row>
    <row r="304">
      <c r="A304" s="15"/>
      <c r="B304" s="15"/>
      <c r="C304" s="15"/>
      <c r="D304" s="15"/>
      <c r="E304" s="15"/>
      <c r="F304" s="15"/>
      <c r="G304" s="15"/>
      <c r="H304" s="44" t="s">
        <v>65</v>
      </c>
      <c r="I304" s="45">
        <v>1.0</v>
      </c>
      <c r="J304" s="47">
        <v>0.4</v>
      </c>
      <c r="K304" s="15"/>
    </row>
    <row r="305">
      <c r="B305" s="69"/>
    </row>
    <row r="306">
      <c r="A306" s="5" t="s">
        <v>90</v>
      </c>
      <c r="B306" s="63" t="s">
        <v>12</v>
      </c>
      <c r="C306" s="7">
        <f>(G306*F306)+(G310*F310)+(G312*F312)+(G315*F315)</f>
        <v>0.1249175</v>
      </c>
      <c r="D306" s="7">
        <v>0.3</v>
      </c>
      <c r="E306" s="6" t="s">
        <v>13</v>
      </c>
      <c r="F306" s="7">
        <f>(J306*I306)+(J307*I307)+(J308*I308)+(J309*I309)</f>
        <v>0.08125</v>
      </c>
      <c r="G306" s="7">
        <v>0.3</v>
      </c>
      <c r="H306" s="8" t="s">
        <v>14</v>
      </c>
      <c r="I306" s="9">
        <v>0.23</v>
      </c>
      <c r="J306" s="10">
        <v>0.15</v>
      </c>
      <c r="K306" s="11">
        <f>(C306*D306)+(C317*D317)+(C328*D328)+(C332*D332)+(C339*D339)</f>
        <v>0.2324965</v>
      </c>
    </row>
    <row r="307">
      <c r="A307" s="13"/>
      <c r="B307" s="13"/>
      <c r="C307" s="13"/>
      <c r="D307" s="13"/>
      <c r="E307" s="13"/>
      <c r="F307" s="13"/>
      <c r="G307" s="13"/>
      <c r="H307" s="8" t="s">
        <v>15</v>
      </c>
      <c r="I307" s="9">
        <v>0.01</v>
      </c>
      <c r="J307" s="10">
        <v>0.5</v>
      </c>
      <c r="K307" s="13"/>
    </row>
    <row r="308">
      <c r="A308" s="13"/>
      <c r="B308" s="13"/>
      <c r="C308" s="13"/>
      <c r="D308" s="13"/>
      <c r="E308" s="13"/>
      <c r="F308" s="13"/>
      <c r="G308" s="13"/>
      <c r="H308" s="8" t="s">
        <v>16</v>
      </c>
      <c r="I308" s="14">
        <f>2.65/10</f>
        <v>0.265</v>
      </c>
      <c r="J308" s="10">
        <v>0.15</v>
      </c>
      <c r="K308" s="13"/>
    </row>
    <row r="309">
      <c r="A309" s="13"/>
      <c r="B309" s="13"/>
      <c r="C309" s="13"/>
      <c r="D309" s="13"/>
      <c r="E309" s="15"/>
      <c r="F309" s="15"/>
      <c r="G309" s="15"/>
      <c r="H309" s="8" t="s">
        <v>17</v>
      </c>
      <c r="I309" s="9">
        <v>0.01</v>
      </c>
      <c r="J309" s="10">
        <v>0.2</v>
      </c>
      <c r="K309" s="13"/>
    </row>
    <row r="310">
      <c r="A310" s="13"/>
      <c r="B310" s="13"/>
      <c r="C310" s="13"/>
      <c r="D310" s="13"/>
      <c r="E310" s="6" t="s">
        <v>18</v>
      </c>
      <c r="F310" s="7">
        <f>(J310*I310)+(I311*J311)</f>
        <v>0.143</v>
      </c>
      <c r="G310" s="7">
        <v>0.25</v>
      </c>
      <c r="H310" s="8" t="s">
        <v>19</v>
      </c>
      <c r="I310" s="9">
        <v>0.2</v>
      </c>
      <c r="J310" s="10">
        <v>0.7</v>
      </c>
      <c r="K310" s="13"/>
    </row>
    <row r="311">
      <c r="A311" s="13"/>
      <c r="B311" s="13"/>
      <c r="C311" s="13"/>
      <c r="D311" s="13"/>
      <c r="E311" s="15"/>
      <c r="F311" s="15"/>
      <c r="G311" s="15"/>
      <c r="H311" s="8" t="s">
        <v>20</v>
      </c>
      <c r="I311" s="9">
        <f>0.04/4</f>
        <v>0.01</v>
      </c>
      <c r="J311" s="10">
        <v>0.3</v>
      </c>
      <c r="K311" s="13"/>
    </row>
    <row r="312">
      <c r="A312" s="13"/>
      <c r="B312" s="13"/>
      <c r="C312" s="13"/>
      <c r="D312" s="13"/>
      <c r="E312" s="6" t="s">
        <v>21</v>
      </c>
      <c r="F312" s="7">
        <f>(J312*I312)+(I313*J313)+(I314*J314)</f>
        <v>0.118475</v>
      </c>
      <c r="G312" s="7">
        <v>0.3</v>
      </c>
      <c r="H312" s="8" t="s">
        <v>22</v>
      </c>
      <c r="I312" s="14">
        <f>18.85/100</f>
        <v>0.1885</v>
      </c>
      <c r="J312" s="10">
        <v>0.35</v>
      </c>
      <c r="K312" s="13"/>
    </row>
    <row r="313">
      <c r="A313" s="13"/>
      <c r="B313" s="13"/>
      <c r="C313" s="13"/>
      <c r="D313" s="13"/>
      <c r="E313" s="13"/>
      <c r="F313" s="13"/>
      <c r="G313" s="13"/>
      <c r="H313" s="8" t="s">
        <v>23</v>
      </c>
      <c r="I313" s="9">
        <v>0.14</v>
      </c>
      <c r="J313" s="10">
        <v>0.3</v>
      </c>
      <c r="K313" s="13"/>
    </row>
    <row r="314">
      <c r="A314" s="13"/>
      <c r="B314" s="13"/>
      <c r="C314" s="13"/>
      <c r="D314" s="13"/>
      <c r="E314" s="15"/>
      <c r="F314" s="15"/>
      <c r="G314" s="15"/>
      <c r="H314" s="8" t="s">
        <v>24</v>
      </c>
      <c r="I314" s="9">
        <v>0.03</v>
      </c>
      <c r="J314" s="10">
        <v>0.35</v>
      </c>
      <c r="K314" s="13"/>
    </row>
    <row r="315">
      <c r="A315" s="13"/>
      <c r="B315" s="13"/>
      <c r="C315" s="13"/>
      <c r="D315" s="13"/>
      <c r="E315" s="6" t="s">
        <v>25</v>
      </c>
      <c r="F315" s="7">
        <f>(J315*I315)+(I316*J316)</f>
        <v>0.195</v>
      </c>
      <c r="G315" s="7">
        <v>0.15</v>
      </c>
      <c r="H315" s="8" t="s">
        <v>26</v>
      </c>
      <c r="I315" s="9">
        <v>0.3</v>
      </c>
      <c r="J315" s="10">
        <v>0.6</v>
      </c>
      <c r="K315" s="13"/>
    </row>
    <row r="316">
      <c r="A316" s="13"/>
      <c r="B316" s="15"/>
      <c r="C316" s="15"/>
      <c r="D316" s="15"/>
      <c r="E316" s="15"/>
      <c r="F316" s="15"/>
      <c r="G316" s="15"/>
      <c r="H316" s="16" t="s">
        <v>27</v>
      </c>
      <c r="I316" s="14">
        <f>0.15/4</f>
        <v>0.0375</v>
      </c>
      <c r="J316" s="17">
        <v>0.4</v>
      </c>
      <c r="K316" s="13"/>
    </row>
    <row r="317">
      <c r="A317" s="13"/>
      <c r="B317" s="64" t="s">
        <v>28</v>
      </c>
      <c r="C317" s="19">
        <f>(G317*F317)+(F321*G321)+(F325*G325)</f>
        <v>0.4808625</v>
      </c>
      <c r="D317" s="19">
        <v>0.2</v>
      </c>
      <c r="E317" s="20" t="s">
        <v>29</v>
      </c>
      <c r="F317" s="19">
        <f>(J317*I317)+(J318*I318)+(J319*I319)+(J320*I320)</f>
        <v>0.35475</v>
      </c>
      <c r="G317" s="19">
        <v>0.35</v>
      </c>
      <c r="H317" s="21" t="s">
        <v>30</v>
      </c>
      <c r="I317" s="22">
        <v>0.4</v>
      </c>
      <c r="J317" s="23">
        <v>0.3</v>
      </c>
      <c r="K317" s="13"/>
    </row>
    <row r="318">
      <c r="A318" s="13"/>
      <c r="B318" s="13"/>
      <c r="C318" s="13"/>
      <c r="D318" s="13"/>
      <c r="E318" s="13"/>
      <c r="F318" s="13"/>
      <c r="G318" s="13"/>
      <c r="H318" s="21" t="s">
        <v>31</v>
      </c>
      <c r="I318" s="24">
        <f>1.49/4</f>
        <v>0.3725</v>
      </c>
      <c r="J318" s="23">
        <v>0.2</v>
      </c>
      <c r="K318" s="13"/>
    </row>
    <row r="319">
      <c r="A319" s="13"/>
      <c r="B319" s="13"/>
      <c r="C319" s="13"/>
      <c r="D319" s="13"/>
      <c r="E319" s="13"/>
      <c r="F319" s="13"/>
      <c r="G319" s="13"/>
      <c r="H319" s="21" t="s">
        <v>32</v>
      </c>
      <c r="I319" s="22">
        <f>1.57/4</f>
        <v>0.3925</v>
      </c>
      <c r="J319" s="23">
        <v>0.2</v>
      </c>
      <c r="K319" s="13"/>
    </row>
    <row r="320">
      <c r="A320" s="13"/>
      <c r="B320" s="13"/>
      <c r="C320" s="13"/>
      <c r="D320" s="13"/>
      <c r="E320" s="15"/>
      <c r="F320" s="15"/>
      <c r="G320" s="15"/>
      <c r="H320" s="21" t="s">
        <v>33</v>
      </c>
      <c r="I320" s="22">
        <f>1.09/4</f>
        <v>0.2725</v>
      </c>
      <c r="J320" s="23">
        <v>0.3</v>
      </c>
      <c r="K320" s="13"/>
    </row>
    <row r="321">
      <c r="A321" s="13"/>
      <c r="B321" s="13"/>
      <c r="C321" s="13"/>
      <c r="D321" s="13"/>
      <c r="E321" s="25" t="s">
        <v>34</v>
      </c>
      <c r="F321" s="19">
        <f>(J321*I321)+(J322*I322)+(J323*I323)+(J324*I324)</f>
        <v>0.628</v>
      </c>
      <c r="G321" s="19">
        <v>0.4</v>
      </c>
      <c r="H321" s="21" t="s">
        <v>35</v>
      </c>
      <c r="I321" s="22">
        <v>0.706</v>
      </c>
      <c r="J321" s="23">
        <v>0.5</v>
      </c>
      <c r="K321" s="13"/>
    </row>
    <row r="322">
      <c r="A322" s="13"/>
      <c r="B322" s="13"/>
      <c r="C322" s="13"/>
      <c r="D322" s="13"/>
      <c r="E322" s="13"/>
      <c r="F322" s="13"/>
      <c r="G322" s="13"/>
      <c r="H322" s="21" t="s">
        <v>36</v>
      </c>
      <c r="I322" s="22">
        <f>(100-9)/100</f>
        <v>0.91</v>
      </c>
      <c r="J322" s="23">
        <v>0.3</v>
      </c>
      <c r="K322" s="13"/>
    </row>
    <row r="323">
      <c r="A323" s="13"/>
      <c r="B323" s="13"/>
      <c r="C323" s="13"/>
      <c r="D323" s="13"/>
      <c r="E323" s="13"/>
      <c r="F323" s="13"/>
      <c r="G323" s="13"/>
      <c r="H323" s="73" t="s">
        <v>37</v>
      </c>
      <c r="I323" s="27">
        <f>0.04/4</f>
        <v>0.01</v>
      </c>
      <c r="J323" s="19">
        <v>0.2</v>
      </c>
      <c r="K323" s="13"/>
    </row>
    <row r="324">
      <c r="A324" s="13"/>
      <c r="B324" s="13"/>
      <c r="C324" s="13"/>
      <c r="D324" s="13"/>
      <c r="E324" s="15"/>
      <c r="F324" s="15"/>
      <c r="G324" s="15"/>
      <c r="H324" s="15"/>
      <c r="I324" s="15"/>
      <c r="J324" s="15"/>
      <c r="K324" s="13"/>
    </row>
    <row r="325">
      <c r="A325" s="13"/>
      <c r="B325" s="13"/>
      <c r="C325" s="13"/>
      <c r="D325" s="13"/>
      <c r="E325" s="25" t="s">
        <v>38</v>
      </c>
      <c r="F325" s="19">
        <f>(J325*I325)+(I326*J326)+(I327*J327)</f>
        <v>0.422</v>
      </c>
      <c r="G325" s="19">
        <v>0.25</v>
      </c>
      <c r="H325" s="21" t="s">
        <v>39</v>
      </c>
      <c r="I325" s="24">
        <f>(100-46.3)/100</f>
        <v>0.537</v>
      </c>
      <c r="J325" s="23">
        <v>0.25</v>
      </c>
      <c r="K325" s="13"/>
    </row>
    <row r="326">
      <c r="A326" s="13"/>
      <c r="B326" s="13"/>
      <c r="C326" s="13"/>
      <c r="D326" s="13"/>
      <c r="E326" s="13"/>
      <c r="F326" s="13"/>
      <c r="G326" s="13"/>
      <c r="H326" s="21" t="s">
        <v>40</v>
      </c>
      <c r="I326" s="22">
        <f>0.8/4</f>
        <v>0.2</v>
      </c>
      <c r="J326" s="23">
        <v>0.5</v>
      </c>
      <c r="K326" s="13"/>
    </row>
    <row r="327">
      <c r="A327" s="13"/>
      <c r="B327" s="15"/>
      <c r="C327" s="15"/>
      <c r="D327" s="15"/>
      <c r="E327" s="15"/>
      <c r="F327" s="15"/>
      <c r="G327" s="15"/>
      <c r="H327" s="21" t="s">
        <v>41</v>
      </c>
      <c r="I327" s="24">
        <f>(100-24.9)/100</f>
        <v>0.751</v>
      </c>
      <c r="J327" s="23">
        <v>0.25</v>
      </c>
      <c r="K327" s="13"/>
    </row>
    <row r="328">
      <c r="A328" s="13"/>
      <c r="B328" s="65" t="s">
        <v>42</v>
      </c>
      <c r="C328" s="29">
        <f>(G328*F328)+(F330*G330)</f>
        <v>0.1095</v>
      </c>
      <c r="D328" s="29">
        <v>0.2</v>
      </c>
      <c r="E328" s="30" t="s">
        <v>43</v>
      </c>
      <c r="F328" s="29">
        <f>(J328*I328)+(I329*J329)</f>
        <v>0.04533333333</v>
      </c>
      <c r="G328" s="29">
        <v>0.45</v>
      </c>
      <c r="H328" s="31" t="s">
        <v>44</v>
      </c>
      <c r="I328" s="32">
        <v>0.02</v>
      </c>
      <c r="J328" s="33">
        <v>0.6</v>
      </c>
      <c r="K328" s="13"/>
    </row>
    <row r="329">
      <c r="A329" s="13"/>
      <c r="B329" s="13"/>
      <c r="C329" s="13"/>
      <c r="D329" s="13"/>
      <c r="E329" s="15"/>
      <c r="F329" s="15"/>
      <c r="G329" s="15"/>
      <c r="H329" s="31" t="s">
        <v>45</v>
      </c>
      <c r="I329" s="34">
        <f>0.25/3</f>
        <v>0.08333333333</v>
      </c>
      <c r="J329" s="33">
        <v>0.4</v>
      </c>
      <c r="K329" s="13"/>
    </row>
    <row r="330">
      <c r="A330" s="13"/>
      <c r="B330" s="13"/>
      <c r="C330" s="13"/>
      <c r="D330" s="13"/>
      <c r="E330" s="30" t="s">
        <v>46</v>
      </c>
      <c r="F330" s="29">
        <f>(J330*I330)+(I331*J331)</f>
        <v>0.162</v>
      </c>
      <c r="G330" s="29">
        <v>0.55</v>
      </c>
      <c r="H330" s="31" t="s">
        <v>47</v>
      </c>
      <c r="I330" s="32">
        <v>0.27</v>
      </c>
      <c r="J330" s="33">
        <v>0.6</v>
      </c>
      <c r="K330" s="13"/>
    </row>
    <row r="331">
      <c r="A331" s="13"/>
      <c r="B331" s="15"/>
      <c r="C331" s="15"/>
      <c r="D331" s="15"/>
      <c r="E331" s="15"/>
      <c r="F331" s="15"/>
      <c r="G331" s="15"/>
      <c r="H331" s="31" t="s">
        <v>48</v>
      </c>
      <c r="I331" s="32">
        <v>0.0</v>
      </c>
      <c r="J331" s="33">
        <v>0.4</v>
      </c>
      <c r="K331" s="13"/>
    </row>
    <row r="332">
      <c r="A332" s="13"/>
      <c r="B332" s="66" t="s">
        <v>49</v>
      </c>
      <c r="C332" s="36">
        <f>(F332*G332)+(F336*G336)</f>
        <v>0.35114375</v>
      </c>
      <c r="D332" s="36">
        <v>0.2</v>
      </c>
      <c r="E332" s="37" t="s">
        <v>50</v>
      </c>
      <c r="F332" s="36">
        <f>(J332*I332)+(J333*I333)+(J334*I334)+(J335*I335)</f>
        <v>0.313625</v>
      </c>
      <c r="G332" s="36">
        <v>0.55</v>
      </c>
      <c r="H332" s="38" t="s">
        <v>51</v>
      </c>
      <c r="I332" s="39">
        <v>0.14</v>
      </c>
      <c r="J332" s="40">
        <v>0.35</v>
      </c>
      <c r="K332" s="13"/>
    </row>
    <row r="333">
      <c r="A333" s="13"/>
      <c r="B333" s="13"/>
      <c r="C333" s="13"/>
      <c r="D333" s="13"/>
      <c r="E333" s="13"/>
      <c r="F333" s="13"/>
      <c r="G333" s="13"/>
      <c r="H333" s="38" t="s">
        <v>52</v>
      </c>
      <c r="I333" s="41">
        <f>0.98/4</f>
        <v>0.245</v>
      </c>
      <c r="J333" s="40">
        <v>0.35</v>
      </c>
      <c r="K333" s="13"/>
    </row>
    <row r="334">
      <c r="A334" s="13"/>
      <c r="B334" s="13"/>
      <c r="C334" s="13"/>
      <c r="D334" s="13"/>
      <c r="E334" s="13"/>
      <c r="F334" s="13"/>
      <c r="G334" s="13"/>
      <c r="H334" s="38" t="s">
        <v>53</v>
      </c>
      <c r="I334" s="41">
        <f>0.77/4</f>
        <v>0.1925</v>
      </c>
      <c r="J334" s="40">
        <v>0.15</v>
      </c>
      <c r="K334" s="13"/>
    </row>
    <row r="335">
      <c r="A335" s="13"/>
      <c r="B335" s="13"/>
      <c r="C335" s="13"/>
      <c r="D335" s="13"/>
      <c r="E335" s="15"/>
      <c r="F335" s="15"/>
      <c r="G335" s="15"/>
      <c r="H335" s="38" t="s">
        <v>54</v>
      </c>
      <c r="I335" s="39">
        <v>1.0</v>
      </c>
      <c r="J335" s="40">
        <v>0.15</v>
      </c>
      <c r="K335" s="13"/>
    </row>
    <row r="336">
      <c r="A336" s="13"/>
      <c r="B336" s="13"/>
      <c r="C336" s="13"/>
      <c r="D336" s="13"/>
      <c r="E336" s="35" t="s">
        <v>55</v>
      </c>
      <c r="F336" s="36">
        <f>(J336*I336)+(I337*J337)+(I338*J338)</f>
        <v>0.397</v>
      </c>
      <c r="G336" s="36">
        <v>0.45</v>
      </c>
      <c r="H336" s="38" t="s">
        <v>56</v>
      </c>
      <c r="I336" s="39">
        <f>2.55/4</f>
        <v>0.6375</v>
      </c>
      <c r="J336" s="40">
        <v>0.3</v>
      </c>
      <c r="K336" s="13"/>
    </row>
    <row r="337">
      <c r="A337" s="13"/>
      <c r="B337" s="13"/>
      <c r="C337" s="13"/>
      <c r="D337" s="13"/>
      <c r="E337" s="13"/>
      <c r="F337" s="13"/>
      <c r="G337" s="13"/>
      <c r="H337" s="38" t="s">
        <v>57</v>
      </c>
      <c r="I337" s="41">
        <f>1.21/4</f>
        <v>0.3025</v>
      </c>
      <c r="J337" s="40">
        <v>0.3</v>
      </c>
      <c r="K337" s="13"/>
    </row>
    <row r="338">
      <c r="A338" s="13"/>
      <c r="B338" s="15"/>
      <c r="C338" s="15"/>
      <c r="D338" s="15"/>
      <c r="E338" s="15"/>
      <c r="F338" s="15"/>
      <c r="G338" s="15"/>
      <c r="H338" s="38" t="s">
        <v>58</v>
      </c>
      <c r="I338" s="41">
        <f>1.15/4</f>
        <v>0.2875</v>
      </c>
      <c r="J338" s="40">
        <v>0.4</v>
      </c>
      <c r="K338" s="13"/>
    </row>
    <row r="339">
      <c r="A339" s="13"/>
      <c r="B339" s="67" t="s">
        <v>59</v>
      </c>
      <c r="C339" s="43">
        <f>(F339*G339)+(F341*G341)</f>
        <v>0.0672</v>
      </c>
      <c r="D339" s="43">
        <v>0.1</v>
      </c>
      <c r="E339" s="42" t="s">
        <v>60</v>
      </c>
      <c r="F339" s="43">
        <f>(J339*I339)+(I340*J340)</f>
        <v>0</v>
      </c>
      <c r="G339" s="43">
        <v>0.6</v>
      </c>
      <c r="H339" s="44" t="s">
        <v>61</v>
      </c>
      <c r="I339" s="45">
        <v>0.0</v>
      </c>
      <c r="J339" s="46">
        <v>0.5</v>
      </c>
      <c r="K339" s="13"/>
    </row>
    <row r="340">
      <c r="A340" s="13"/>
      <c r="B340" s="13"/>
      <c r="C340" s="13"/>
      <c r="D340" s="13"/>
      <c r="E340" s="15"/>
      <c r="F340" s="15"/>
      <c r="G340" s="15"/>
      <c r="H340" s="44" t="s">
        <v>62</v>
      </c>
      <c r="I340" s="68">
        <v>0.0</v>
      </c>
      <c r="J340" s="46">
        <v>0.5</v>
      </c>
      <c r="K340" s="13"/>
    </row>
    <row r="341">
      <c r="A341" s="13"/>
      <c r="B341" s="13"/>
      <c r="C341" s="13"/>
      <c r="D341" s="13"/>
      <c r="E341" s="42" t="s">
        <v>63</v>
      </c>
      <c r="F341" s="43">
        <f>(J341*I341)+(I342*J342)</f>
        <v>0.168</v>
      </c>
      <c r="G341" s="43">
        <v>0.4</v>
      </c>
      <c r="H341" s="44" t="s">
        <v>64</v>
      </c>
      <c r="I341" s="45">
        <v>0.0</v>
      </c>
      <c r="J341" s="47">
        <v>0.6</v>
      </c>
      <c r="K341" s="13"/>
    </row>
    <row r="342">
      <c r="A342" s="15"/>
      <c r="B342" s="15"/>
      <c r="C342" s="15"/>
      <c r="D342" s="15"/>
      <c r="E342" s="15"/>
      <c r="F342" s="15"/>
      <c r="G342" s="15"/>
      <c r="H342" s="44" t="s">
        <v>65</v>
      </c>
      <c r="I342" s="45">
        <f>42/100</f>
        <v>0.42</v>
      </c>
      <c r="J342" s="47">
        <v>0.4</v>
      </c>
      <c r="K342" s="15"/>
    </row>
    <row r="343">
      <c r="B343" s="69"/>
    </row>
    <row r="344">
      <c r="A344" s="5" t="s">
        <v>91</v>
      </c>
      <c r="B344" s="63" t="s">
        <v>12</v>
      </c>
      <c r="C344" s="7">
        <f>(G344*F344)+(G348*F348)+(G350*F350)+(G353*F353)</f>
        <v>0.594002</v>
      </c>
      <c r="D344" s="7">
        <v>0.3</v>
      </c>
      <c r="E344" s="6" t="s">
        <v>13</v>
      </c>
      <c r="F344" s="7">
        <f>(J344*I344)+(J345*I345)+(J346*I346)+(J347*I347)</f>
        <v>0.6926</v>
      </c>
      <c r="G344" s="7">
        <v>0.3</v>
      </c>
      <c r="H344" s="8" t="s">
        <v>14</v>
      </c>
      <c r="I344" s="9">
        <v>0.55</v>
      </c>
      <c r="J344" s="10">
        <v>0.15</v>
      </c>
      <c r="K344" s="11">
        <f>(C344*D344)+(C355*D355)+(C366*D366)+(C370*D370)+(C377*D377)</f>
        <v>0.6350356</v>
      </c>
    </row>
    <row r="345">
      <c r="A345" s="13"/>
      <c r="B345" s="13"/>
      <c r="C345" s="13"/>
      <c r="D345" s="13"/>
      <c r="E345" s="13"/>
      <c r="F345" s="13"/>
      <c r="G345" s="13"/>
      <c r="H345" s="8" t="s">
        <v>15</v>
      </c>
      <c r="I345" s="9">
        <v>0.69</v>
      </c>
      <c r="J345" s="10">
        <v>0.5</v>
      </c>
      <c r="K345" s="13"/>
    </row>
    <row r="346">
      <c r="A346" s="13"/>
      <c r="B346" s="13"/>
      <c r="C346" s="13"/>
      <c r="D346" s="13"/>
      <c r="E346" s="13"/>
      <c r="F346" s="13"/>
      <c r="G346" s="13"/>
      <c r="H346" s="8" t="s">
        <v>16</v>
      </c>
      <c r="I346" s="14">
        <f>7.94/10</f>
        <v>0.794</v>
      </c>
      <c r="J346" s="10">
        <v>0.15</v>
      </c>
      <c r="K346" s="13"/>
    </row>
    <row r="347">
      <c r="A347" s="13"/>
      <c r="B347" s="13"/>
      <c r="C347" s="13"/>
      <c r="D347" s="13"/>
      <c r="E347" s="15"/>
      <c r="F347" s="15"/>
      <c r="G347" s="15"/>
      <c r="H347" s="8" t="s">
        <v>17</v>
      </c>
      <c r="I347" s="9">
        <v>0.73</v>
      </c>
      <c r="J347" s="10">
        <v>0.2</v>
      </c>
      <c r="K347" s="13"/>
    </row>
    <row r="348">
      <c r="A348" s="13"/>
      <c r="B348" s="13"/>
      <c r="C348" s="13"/>
      <c r="D348" s="13"/>
      <c r="E348" s="6" t="s">
        <v>18</v>
      </c>
      <c r="F348" s="7">
        <f>(J348*I348)+(I349*J349)</f>
        <v>0.542</v>
      </c>
      <c r="G348" s="7">
        <v>0.25</v>
      </c>
      <c r="H348" s="8" t="s">
        <v>19</v>
      </c>
      <c r="I348" s="9">
        <v>0.5</v>
      </c>
      <c r="J348" s="10">
        <v>0.7</v>
      </c>
      <c r="K348" s="13"/>
    </row>
    <row r="349">
      <c r="A349" s="13"/>
      <c r="B349" s="13"/>
      <c r="C349" s="13"/>
      <c r="D349" s="13"/>
      <c r="E349" s="15"/>
      <c r="F349" s="15"/>
      <c r="G349" s="15"/>
      <c r="H349" s="8" t="s">
        <v>20</v>
      </c>
      <c r="I349" s="9">
        <f>2.56/4</f>
        <v>0.64</v>
      </c>
      <c r="J349" s="10">
        <v>0.3</v>
      </c>
      <c r="K349" s="13"/>
    </row>
    <row r="350">
      <c r="A350" s="13"/>
      <c r="B350" s="13"/>
      <c r="C350" s="13"/>
      <c r="D350" s="13"/>
      <c r="E350" s="6" t="s">
        <v>21</v>
      </c>
      <c r="F350" s="7">
        <f>(J350*I350)+(I351*J351)+(I352*J352)</f>
        <v>0.53174</v>
      </c>
      <c r="G350" s="7">
        <v>0.3</v>
      </c>
      <c r="H350" s="8" t="s">
        <v>22</v>
      </c>
      <c r="I350" s="14">
        <f>36.64/100</f>
        <v>0.3664</v>
      </c>
      <c r="J350" s="10">
        <v>0.35</v>
      </c>
      <c r="K350" s="13"/>
    </row>
    <row r="351">
      <c r="A351" s="13"/>
      <c r="B351" s="13"/>
      <c r="C351" s="13"/>
      <c r="D351" s="13"/>
      <c r="E351" s="13"/>
      <c r="F351" s="13"/>
      <c r="G351" s="13"/>
      <c r="H351" s="8" t="s">
        <v>23</v>
      </c>
      <c r="I351" s="9">
        <v>0.33</v>
      </c>
      <c r="J351" s="10">
        <v>0.3</v>
      </c>
      <c r="K351" s="13"/>
    </row>
    <row r="352">
      <c r="A352" s="13"/>
      <c r="B352" s="13"/>
      <c r="C352" s="13"/>
      <c r="D352" s="13"/>
      <c r="E352" s="15"/>
      <c r="F352" s="15"/>
      <c r="G352" s="15"/>
      <c r="H352" s="8" t="s">
        <v>24</v>
      </c>
      <c r="I352" s="9">
        <v>0.87</v>
      </c>
      <c r="J352" s="10">
        <v>0.35</v>
      </c>
      <c r="K352" s="13"/>
    </row>
    <row r="353">
      <c r="A353" s="13"/>
      <c r="B353" s="13"/>
      <c r="C353" s="13"/>
      <c r="D353" s="13"/>
      <c r="E353" s="6" t="s">
        <v>25</v>
      </c>
      <c r="F353" s="7">
        <f>(J353*I353)+(I354*J354)</f>
        <v>0.608</v>
      </c>
      <c r="G353" s="7">
        <v>0.15</v>
      </c>
      <c r="H353" s="8" t="s">
        <v>26</v>
      </c>
      <c r="I353" s="9">
        <v>0.57</v>
      </c>
      <c r="J353" s="10">
        <v>0.6</v>
      </c>
      <c r="K353" s="13"/>
    </row>
    <row r="354">
      <c r="A354" s="13"/>
      <c r="B354" s="15"/>
      <c r="C354" s="15"/>
      <c r="D354" s="15"/>
      <c r="E354" s="15"/>
      <c r="F354" s="15"/>
      <c r="G354" s="15"/>
      <c r="H354" s="16" t="s">
        <v>27</v>
      </c>
      <c r="I354" s="14">
        <f>2.66/4</f>
        <v>0.665</v>
      </c>
      <c r="J354" s="17">
        <v>0.4</v>
      </c>
      <c r="K354" s="13"/>
    </row>
    <row r="355">
      <c r="A355" s="13"/>
      <c r="B355" s="64" t="s">
        <v>28</v>
      </c>
      <c r="C355" s="19">
        <f>(G355*F355)+(F359*G359)+(F363*G363)</f>
        <v>0.631075</v>
      </c>
      <c r="D355" s="19">
        <v>0.2</v>
      </c>
      <c r="E355" s="20" t="s">
        <v>29</v>
      </c>
      <c r="F355" s="19">
        <f>(J355*I355)+(J356*I356)+(J357*I357)+(J358*I358)</f>
        <v>0.48525</v>
      </c>
      <c r="G355" s="19">
        <v>0.35</v>
      </c>
      <c r="H355" s="21" t="s">
        <v>30</v>
      </c>
      <c r="I355" s="22">
        <v>0.6</v>
      </c>
      <c r="J355" s="23">
        <v>0.3</v>
      </c>
      <c r="K355" s="13"/>
    </row>
    <row r="356">
      <c r="A356" s="13"/>
      <c r="B356" s="13"/>
      <c r="C356" s="13"/>
      <c r="D356" s="13"/>
      <c r="E356" s="13"/>
      <c r="F356" s="13"/>
      <c r="G356" s="13"/>
      <c r="H356" s="21" t="s">
        <v>31</v>
      </c>
      <c r="I356" s="24">
        <f>1.89/4</f>
        <v>0.4725</v>
      </c>
      <c r="J356" s="23">
        <v>0.2</v>
      </c>
      <c r="K356" s="13"/>
    </row>
    <row r="357">
      <c r="A357" s="13"/>
      <c r="B357" s="13"/>
      <c r="C357" s="13"/>
      <c r="D357" s="13"/>
      <c r="E357" s="13"/>
      <c r="F357" s="13"/>
      <c r="G357" s="13"/>
      <c r="H357" s="21" t="s">
        <v>32</v>
      </c>
      <c r="I357" s="22">
        <f>2.25/4</f>
        <v>0.5625</v>
      </c>
      <c r="J357" s="23">
        <v>0.2</v>
      </c>
      <c r="K357" s="13"/>
    </row>
    <row r="358">
      <c r="A358" s="13"/>
      <c r="B358" s="13"/>
      <c r="C358" s="13"/>
      <c r="D358" s="13"/>
      <c r="E358" s="15"/>
      <c r="F358" s="15"/>
      <c r="G358" s="15"/>
      <c r="H358" s="21" t="s">
        <v>33</v>
      </c>
      <c r="I358" s="22">
        <f>1.31/4</f>
        <v>0.3275</v>
      </c>
      <c r="J358" s="23">
        <v>0.3</v>
      </c>
      <c r="K358" s="13"/>
    </row>
    <row r="359">
      <c r="A359" s="13"/>
      <c r="B359" s="13"/>
      <c r="C359" s="13"/>
      <c r="D359" s="13"/>
      <c r="E359" s="25" t="s">
        <v>34</v>
      </c>
      <c r="F359" s="19">
        <f>(J359*I359)+(J360*I360)+(J361*I361)+(J362*I362)</f>
        <v>0.867</v>
      </c>
      <c r="G359" s="19">
        <v>0.4</v>
      </c>
      <c r="H359" s="21" t="s">
        <v>35</v>
      </c>
      <c r="I359" s="22">
        <v>0.839</v>
      </c>
      <c r="J359" s="23">
        <v>0.5</v>
      </c>
      <c r="K359" s="13"/>
    </row>
    <row r="360">
      <c r="A360" s="13"/>
      <c r="B360" s="13"/>
      <c r="C360" s="13"/>
      <c r="D360" s="13"/>
      <c r="E360" s="13"/>
      <c r="F360" s="13"/>
      <c r="G360" s="13"/>
      <c r="H360" s="21" t="s">
        <v>36</v>
      </c>
      <c r="I360" s="22">
        <f>(100-12)/100</f>
        <v>0.88</v>
      </c>
      <c r="J360" s="23">
        <v>0.3</v>
      </c>
      <c r="K360" s="13"/>
    </row>
    <row r="361">
      <c r="A361" s="13"/>
      <c r="B361" s="13"/>
      <c r="C361" s="13"/>
      <c r="D361" s="13"/>
      <c r="E361" s="13"/>
      <c r="F361" s="13"/>
      <c r="G361" s="13"/>
      <c r="H361" s="73" t="s">
        <v>37</v>
      </c>
      <c r="I361" s="27">
        <f>3.67/4</f>
        <v>0.9175</v>
      </c>
      <c r="J361" s="19">
        <v>0.2</v>
      </c>
      <c r="K361" s="13"/>
    </row>
    <row r="362">
      <c r="A362" s="13"/>
      <c r="B362" s="13"/>
      <c r="C362" s="13"/>
      <c r="D362" s="13"/>
      <c r="E362" s="15"/>
      <c r="F362" s="15"/>
      <c r="G362" s="15"/>
      <c r="H362" s="15"/>
      <c r="I362" s="15"/>
      <c r="J362" s="15"/>
      <c r="K362" s="13"/>
    </row>
    <row r="363">
      <c r="A363" s="13"/>
      <c r="B363" s="13"/>
      <c r="C363" s="13"/>
      <c r="D363" s="13"/>
      <c r="E363" s="25" t="s">
        <v>38</v>
      </c>
      <c r="F363" s="19">
        <f>(J363*I363)+(I364*J364)+(I365*J365)</f>
        <v>0.45775</v>
      </c>
      <c r="G363" s="19">
        <v>0.25</v>
      </c>
      <c r="H363" s="21" t="s">
        <v>39</v>
      </c>
      <c r="I363" s="24">
        <f>(100-49.7)/100</f>
        <v>0.503</v>
      </c>
      <c r="J363" s="23">
        <v>0.25</v>
      </c>
      <c r="K363" s="13"/>
    </row>
    <row r="364">
      <c r="A364" s="13"/>
      <c r="B364" s="13"/>
      <c r="C364" s="13"/>
      <c r="D364" s="13"/>
      <c r="E364" s="13"/>
      <c r="F364" s="13"/>
      <c r="G364" s="13"/>
      <c r="H364" s="21" t="s">
        <v>40</v>
      </c>
      <c r="I364" s="22">
        <f>1.09/4</f>
        <v>0.2725</v>
      </c>
      <c r="J364" s="23">
        <v>0.5</v>
      </c>
      <c r="K364" s="13"/>
    </row>
    <row r="365">
      <c r="A365" s="13"/>
      <c r="B365" s="15"/>
      <c r="C365" s="15"/>
      <c r="D365" s="15"/>
      <c r="E365" s="15"/>
      <c r="F365" s="15"/>
      <c r="G365" s="15"/>
      <c r="H365" s="21" t="s">
        <v>41</v>
      </c>
      <c r="I365" s="24">
        <f>(100-21.7)/100</f>
        <v>0.783</v>
      </c>
      <c r="J365" s="23">
        <v>0.25</v>
      </c>
      <c r="K365" s="13"/>
    </row>
    <row r="366">
      <c r="A366" s="13"/>
      <c r="B366" s="65" t="s">
        <v>42</v>
      </c>
      <c r="C366" s="29">
        <f>(G366*F366)+(F368*G368)</f>
        <v>0.5477</v>
      </c>
      <c r="D366" s="29">
        <v>0.2</v>
      </c>
      <c r="E366" s="30" t="s">
        <v>43</v>
      </c>
      <c r="F366" s="29">
        <f>(J366*I366)+(I367*J367)</f>
        <v>0.6573333333</v>
      </c>
      <c r="G366" s="29">
        <v>0.45</v>
      </c>
      <c r="H366" s="31" t="s">
        <v>44</v>
      </c>
      <c r="I366" s="32">
        <v>0.76</v>
      </c>
      <c r="J366" s="33">
        <v>0.6</v>
      </c>
      <c r="K366" s="13"/>
    </row>
    <row r="367">
      <c r="A367" s="13"/>
      <c r="B367" s="13"/>
      <c r="C367" s="13"/>
      <c r="D367" s="13"/>
      <c r="E367" s="15"/>
      <c r="F367" s="15"/>
      <c r="G367" s="15"/>
      <c r="H367" s="31" t="s">
        <v>45</v>
      </c>
      <c r="I367" s="34">
        <f>1.51/3</f>
        <v>0.5033333333</v>
      </c>
      <c r="J367" s="33">
        <v>0.4</v>
      </c>
      <c r="K367" s="13"/>
    </row>
    <row r="368">
      <c r="A368" s="13"/>
      <c r="B368" s="13"/>
      <c r="C368" s="13"/>
      <c r="D368" s="13"/>
      <c r="E368" s="30" t="s">
        <v>46</v>
      </c>
      <c r="F368" s="29">
        <f>(J368*I368)+(I369*J369)</f>
        <v>0.458</v>
      </c>
      <c r="G368" s="29">
        <v>0.55</v>
      </c>
      <c r="H368" s="31" t="s">
        <v>47</v>
      </c>
      <c r="I368" s="32">
        <v>0.43</v>
      </c>
      <c r="J368" s="33">
        <v>0.6</v>
      </c>
      <c r="K368" s="13"/>
    </row>
    <row r="369">
      <c r="A369" s="13"/>
      <c r="B369" s="15"/>
      <c r="C369" s="15"/>
      <c r="D369" s="15"/>
      <c r="E369" s="15"/>
      <c r="F369" s="15"/>
      <c r="G369" s="15"/>
      <c r="H369" s="31" t="s">
        <v>48</v>
      </c>
      <c r="I369" s="32">
        <v>0.5</v>
      </c>
      <c r="J369" s="33">
        <v>0.4</v>
      </c>
      <c r="K369" s="13"/>
    </row>
    <row r="370">
      <c r="A370" s="13"/>
      <c r="B370" s="66" t="s">
        <v>49</v>
      </c>
      <c r="C370" s="36">
        <f>(F370*G370)+(F374*G374)</f>
        <v>0.9306</v>
      </c>
      <c r="D370" s="36">
        <v>0.2</v>
      </c>
      <c r="E370" s="37" t="s">
        <v>50</v>
      </c>
      <c r="F370" s="36">
        <f>(J370*I370)+(J371*I371)+(J372*I372)+(J373*I373)</f>
        <v>0.90675</v>
      </c>
      <c r="G370" s="36">
        <v>0.55</v>
      </c>
      <c r="H370" s="38" t="s">
        <v>51</v>
      </c>
      <c r="I370" s="39">
        <v>0.84</v>
      </c>
      <c r="J370" s="40">
        <v>0.35</v>
      </c>
      <c r="K370" s="13"/>
    </row>
    <row r="371">
      <c r="A371" s="13"/>
      <c r="B371" s="13"/>
      <c r="C371" s="13"/>
      <c r="D371" s="13"/>
      <c r="E371" s="13"/>
      <c r="F371" s="13"/>
      <c r="G371" s="13"/>
      <c r="H371" s="38" t="s">
        <v>52</v>
      </c>
      <c r="I371" s="41">
        <f>3.75/4</f>
        <v>0.9375</v>
      </c>
      <c r="J371" s="40">
        <v>0.35</v>
      </c>
      <c r="K371" s="13"/>
    </row>
    <row r="372">
      <c r="A372" s="13"/>
      <c r="B372" s="13"/>
      <c r="C372" s="13"/>
      <c r="D372" s="13"/>
      <c r="E372" s="13"/>
      <c r="F372" s="13"/>
      <c r="G372" s="13"/>
      <c r="H372" s="38" t="s">
        <v>53</v>
      </c>
      <c r="I372" s="41">
        <f>3.59/4</f>
        <v>0.8975</v>
      </c>
      <c r="J372" s="40">
        <v>0.15</v>
      </c>
      <c r="K372" s="13"/>
    </row>
    <row r="373">
      <c r="A373" s="13"/>
      <c r="B373" s="13"/>
      <c r="C373" s="13"/>
      <c r="D373" s="13"/>
      <c r="E373" s="15"/>
      <c r="F373" s="15"/>
      <c r="G373" s="15"/>
      <c r="H373" s="38" t="s">
        <v>54</v>
      </c>
      <c r="I373" s="39">
        <v>1.0</v>
      </c>
      <c r="J373" s="40">
        <v>0.15</v>
      </c>
      <c r="K373" s="13"/>
    </row>
    <row r="374">
      <c r="A374" s="13"/>
      <c r="B374" s="13"/>
      <c r="C374" s="13"/>
      <c r="D374" s="13"/>
      <c r="E374" s="35" t="s">
        <v>55</v>
      </c>
      <c r="F374" s="36">
        <f>(J374*I374)+(I375*J375)+(I376*J376)</f>
        <v>0.95975</v>
      </c>
      <c r="G374" s="36">
        <v>0.45</v>
      </c>
      <c r="H374" s="38" t="s">
        <v>56</v>
      </c>
      <c r="I374" s="39">
        <f>3.75/4</f>
        <v>0.9375</v>
      </c>
      <c r="J374" s="40">
        <v>0.3</v>
      </c>
      <c r="K374" s="13"/>
    </row>
    <row r="375">
      <c r="A375" s="13"/>
      <c r="B375" s="13"/>
      <c r="C375" s="13"/>
      <c r="D375" s="13"/>
      <c r="E375" s="13"/>
      <c r="F375" s="13"/>
      <c r="G375" s="13"/>
      <c r="H375" s="38" t="s">
        <v>57</v>
      </c>
      <c r="I375" s="41">
        <f>3.94/4</f>
        <v>0.985</v>
      </c>
      <c r="J375" s="40">
        <v>0.3</v>
      </c>
      <c r="K375" s="13"/>
    </row>
    <row r="376">
      <c r="A376" s="13"/>
      <c r="B376" s="15"/>
      <c r="C376" s="15"/>
      <c r="D376" s="15"/>
      <c r="E376" s="15"/>
      <c r="F376" s="15"/>
      <c r="G376" s="15"/>
      <c r="H376" s="38" t="s">
        <v>58</v>
      </c>
      <c r="I376" s="41">
        <f>3.83/4</f>
        <v>0.9575</v>
      </c>
      <c r="J376" s="40">
        <v>0.4</v>
      </c>
      <c r="K376" s="13"/>
    </row>
    <row r="377">
      <c r="A377" s="13"/>
      <c r="B377" s="67" t="s">
        <v>59</v>
      </c>
      <c r="C377" s="43">
        <f>(F377*G377)+(F379*G379)</f>
        <v>0.3496</v>
      </c>
      <c r="D377" s="43">
        <v>0.1</v>
      </c>
      <c r="E377" s="42" t="s">
        <v>60</v>
      </c>
      <c r="F377" s="43">
        <f>(J377*I377)+(I378*J378)</f>
        <v>0.5</v>
      </c>
      <c r="G377" s="43">
        <v>0.6</v>
      </c>
      <c r="H377" s="44" t="s">
        <v>61</v>
      </c>
      <c r="I377" s="45">
        <v>1.0</v>
      </c>
      <c r="J377" s="46">
        <v>0.5</v>
      </c>
      <c r="K377" s="13"/>
    </row>
    <row r="378">
      <c r="A378" s="13"/>
      <c r="B378" s="13"/>
      <c r="C378" s="13"/>
      <c r="D378" s="13"/>
      <c r="E378" s="15"/>
      <c r="F378" s="15"/>
      <c r="G378" s="15"/>
      <c r="H378" s="44" t="s">
        <v>62</v>
      </c>
      <c r="I378" s="68">
        <v>0.0</v>
      </c>
      <c r="J378" s="46">
        <v>0.5</v>
      </c>
      <c r="K378" s="13"/>
    </row>
    <row r="379">
      <c r="A379" s="13"/>
      <c r="B379" s="13"/>
      <c r="C379" s="13"/>
      <c r="D379" s="13"/>
      <c r="E379" s="42" t="s">
        <v>63</v>
      </c>
      <c r="F379" s="43">
        <f>(J379*I379)+(I380*J380)</f>
        <v>0.124</v>
      </c>
      <c r="G379" s="43">
        <v>0.4</v>
      </c>
      <c r="H379" s="44" t="s">
        <v>64</v>
      </c>
      <c r="I379" s="45">
        <v>0.0</v>
      </c>
      <c r="J379" s="47">
        <v>0.6</v>
      </c>
      <c r="K379" s="13"/>
    </row>
    <row r="380">
      <c r="A380" s="15"/>
      <c r="B380" s="15"/>
      <c r="C380" s="15"/>
      <c r="D380" s="15"/>
      <c r="E380" s="15"/>
      <c r="F380" s="15"/>
      <c r="G380" s="15"/>
      <c r="H380" s="44" t="s">
        <v>65</v>
      </c>
      <c r="I380" s="45">
        <f>31/100</f>
        <v>0.31</v>
      </c>
      <c r="J380" s="47">
        <v>0.4</v>
      </c>
      <c r="K380" s="15"/>
    </row>
    <row r="381">
      <c r="B381" s="69"/>
    </row>
    <row r="382">
      <c r="B382" s="69"/>
    </row>
    <row r="383">
      <c r="B383" s="69"/>
    </row>
    <row r="384">
      <c r="B384" s="69"/>
    </row>
    <row r="385">
      <c r="B385" s="69"/>
    </row>
    <row r="386">
      <c r="B386" s="69"/>
    </row>
    <row r="387">
      <c r="B387" s="69"/>
    </row>
    <row r="388">
      <c r="B388" s="69"/>
    </row>
    <row r="389">
      <c r="B389" s="69"/>
    </row>
    <row r="390">
      <c r="B390" s="69"/>
    </row>
    <row r="391">
      <c r="B391" s="69"/>
    </row>
    <row r="392">
      <c r="B392" s="69"/>
    </row>
    <row r="393">
      <c r="B393" s="69"/>
    </row>
    <row r="394">
      <c r="B394" s="69"/>
    </row>
    <row r="395">
      <c r="B395" s="69"/>
    </row>
    <row r="396">
      <c r="B396" s="69"/>
    </row>
    <row r="397">
      <c r="B397" s="69"/>
    </row>
    <row r="398">
      <c r="B398" s="69"/>
    </row>
    <row r="399">
      <c r="B399" s="69"/>
    </row>
    <row r="400">
      <c r="B400" s="69"/>
    </row>
    <row r="401">
      <c r="B401" s="69"/>
    </row>
    <row r="402">
      <c r="B402" s="69"/>
    </row>
    <row r="403">
      <c r="B403" s="69"/>
    </row>
    <row r="404">
      <c r="B404" s="69"/>
    </row>
    <row r="405">
      <c r="B405" s="69"/>
    </row>
    <row r="406">
      <c r="B406" s="69"/>
    </row>
    <row r="407">
      <c r="B407" s="69"/>
    </row>
    <row r="408">
      <c r="B408" s="69"/>
    </row>
    <row r="409">
      <c r="B409" s="69"/>
    </row>
    <row r="410">
      <c r="B410" s="69"/>
    </row>
    <row r="411">
      <c r="B411" s="69"/>
    </row>
    <row r="412">
      <c r="B412" s="69"/>
    </row>
    <row r="413">
      <c r="B413" s="69"/>
    </row>
    <row r="414">
      <c r="B414" s="69"/>
    </row>
    <row r="415">
      <c r="B415" s="69"/>
    </row>
    <row r="416">
      <c r="B416" s="69"/>
    </row>
    <row r="417">
      <c r="B417" s="69"/>
    </row>
    <row r="418">
      <c r="B418" s="69"/>
    </row>
    <row r="419">
      <c r="B419" s="69"/>
    </row>
    <row r="420">
      <c r="B420" s="69"/>
    </row>
    <row r="421">
      <c r="B421" s="69"/>
    </row>
    <row r="422">
      <c r="B422" s="69"/>
    </row>
    <row r="423">
      <c r="B423" s="69"/>
    </row>
    <row r="424">
      <c r="B424" s="69"/>
    </row>
    <row r="425">
      <c r="B425" s="69"/>
    </row>
    <row r="426">
      <c r="B426" s="69"/>
    </row>
    <row r="427">
      <c r="B427" s="69"/>
    </row>
    <row r="428">
      <c r="B428" s="69"/>
    </row>
    <row r="429">
      <c r="B429" s="69"/>
    </row>
    <row r="430">
      <c r="B430" s="69"/>
    </row>
    <row r="431">
      <c r="B431" s="69"/>
    </row>
    <row r="432">
      <c r="B432" s="69"/>
    </row>
    <row r="433">
      <c r="B433" s="69"/>
    </row>
    <row r="434">
      <c r="B434" s="69"/>
    </row>
    <row r="435">
      <c r="B435" s="69"/>
    </row>
    <row r="436">
      <c r="B436" s="69"/>
    </row>
    <row r="437">
      <c r="B437" s="69"/>
    </row>
    <row r="438">
      <c r="B438" s="69"/>
    </row>
    <row r="439">
      <c r="B439" s="69"/>
    </row>
    <row r="440">
      <c r="B440" s="69"/>
    </row>
    <row r="441">
      <c r="B441" s="69"/>
    </row>
    <row r="442">
      <c r="B442" s="69"/>
    </row>
    <row r="443">
      <c r="B443" s="69"/>
    </row>
    <row r="444">
      <c r="B444" s="69"/>
    </row>
    <row r="445">
      <c r="B445" s="69"/>
    </row>
    <row r="446">
      <c r="B446" s="69"/>
    </row>
    <row r="447">
      <c r="B447" s="69"/>
    </row>
    <row r="448">
      <c r="B448" s="69"/>
    </row>
    <row r="449">
      <c r="B449" s="69"/>
    </row>
    <row r="450">
      <c r="B450" s="69"/>
    </row>
    <row r="451">
      <c r="B451" s="69"/>
    </row>
    <row r="452">
      <c r="B452" s="69"/>
    </row>
    <row r="453">
      <c r="B453" s="69"/>
    </row>
    <row r="454">
      <c r="B454" s="69"/>
    </row>
    <row r="455">
      <c r="B455" s="69"/>
    </row>
    <row r="456">
      <c r="B456" s="69"/>
    </row>
    <row r="457">
      <c r="B457" s="69"/>
    </row>
    <row r="458">
      <c r="B458" s="69"/>
    </row>
    <row r="459">
      <c r="B459" s="69"/>
    </row>
    <row r="460">
      <c r="B460" s="69"/>
    </row>
    <row r="461">
      <c r="B461" s="69"/>
    </row>
    <row r="462">
      <c r="B462" s="69"/>
    </row>
    <row r="463">
      <c r="B463" s="69"/>
    </row>
    <row r="464">
      <c r="B464" s="69"/>
    </row>
    <row r="465">
      <c r="B465" s="69"/>
    </row>
    <row r="466">
      <c r="B466" s="69"/>
    </row>
    <row r="467">
      <c r="B467" s="69"/>
    </row>
    <row r="468">
      <c r="B468" s="69"/>
    </row>
    <row r="469">
      <c r="B469" s="69"/>
    </row>
    <row r="470">
      <c r="B470" s="69"/>
    </row>
    <row r="471">
      <c r="B471" s="69"/>
    </row>
    <row r="472">
      <c r="B472" s="69"/>
    </row>
    <row r="473">
      <c r="B473" s="69"/>
    </row>
    <row r="474">
      <c r="B474" s="69"/>
    </row>
    <row r="475">
      <c r="B475" s="69"/>
    </row>
    <row r="476">
      <c r="B476" s="69"/>
    </row>
    <row r="477">
      <c r="B477" s="69"/>
    </row>
    <row r="478">
      <c r="B478" s="69"/>
    </row>
    <row r="479">
      <c r="B479" s="69"/>
    </row>
    <row r="480">
      <c r="B480" s="69"/>
    </row>
    <row r="481">
      <c r="B481" s="69"/>
    </row>
    <row r="482">
      <c r="B482" s="69"/>
    </row>
    <row r="483">
      <c r="B483" s="69"/>
    </row>
    <row r="484">
      <c r="B484" s="69"/>
    </row>
    <row r="485">
      <c r="B485" s="69"/>
    </row>
    <row r="486">
      <c r="B486" s="69"/>
    </row>
    <row r="487">
      <c r="B487" s="69"/>
    </row>
    <row r="488">
      <c r="B488" s="69"/>
    </row>
    <row r="489">
      <c r="B489" s="69"/>
    </row>
    <row r="490">
      <c r="B490" s="69"/>
    </row>
    <row r="491">
      <c r="B491" s="69"/>
    </row>
    <row r="492">
      <c r="B492" s="69"/>
    </row>
    <row r="493">
      <c r="B493" s="69"/>
    </row>
    <row r="494">
      <c r="B494" s="69"/>
    </row>
    <row r="495">
      <c r="B495" s="69"/>
    </row>
    <row r="496">
      <c r="B496" s="69"/>
    </row>
    <row r="497">
      <c r="B497" s="69"/>
    </row>
    <row r="498">
      <c r="B498" s="69"/>
    </row>
    <row r="499">
      <c r="B499" s="69"/>
    </row>
    <row r="500">
      <c r="B500" s="69"/>
    </row>
    <row r="501">
      <c r="B501" s="69"/>
    </row>
    <row r="502">
      <c r="B502" s="69"/>
    </row>
    <row r="503">
      <c r="B503" s="69"/>
    </row>
    <row r="504">
      <c r="B504" s="69"/>
    </row>
    <row r="505">
      <c r="B505" s="69"/>
    </row>
    <row r="506">
      <c r="B506" s="69"/>
    </row>
    <row r="507">
      <c r="B507" s="69"/>
    </row>
    <row r="508">
      <c r="B508" s="69"/>
    </row>
    <row r="509">
      <c r="B509" s="69"/>
    </row>
    <row r="510">
      <c r="B510" s="69"/>
    </row>
    <row r="511">
      <c r="B511" s="69"/>
    </row>
    <row r="512">
      <c r="B512" s="69"/>
    </row>
    <row r="513">
      <c r="B513" s="69"/>
    </row>
    <row r="514">
      <c r="B514" s="69"/>
    </row>
    <row r="515">
      <c r="B515" s="69"/>
    </row>
    <row r="516">
      <c r="B516" s="69"/>
    </row>
    <row r="517">
      <c r="B517" s="69"/>
    </row>
    <row r="518">
      <c r="B518" s="69"/>
    </row>
    <row r="519">
      <c r="B519" s="69"/>
    </row>
    <row r="520">
      <c r="B520" s="69"/>
    </row>
    <row r="521">
      <c r="B521" s="69"/>
    </row>
    <row r="522">
      <c r="B522" s="69"/>
    </row>
    <row r="523">
      <c r="B523" s="69"/>
    </row>
    <row r="524">
      <c r="B524" s="69"/>
    </row>
    <row r="525">
      <c r="B525" s="69"/>
    </row>
    <row r="526">
      <c r="B526" s="69"/>
    </row>
    <row r="527">
      <c r="B527" s="69"/>
    </row>
    <row r="528">
      <c r="B528" s="69"/>
    </row>
    <row r="529">
      <c r="B529" s="69"/>
    </row>
    <row r="530">
      <c r="B530" s="69"/>
    </row>
    <row r="531">
      <c r="B531" s="69"/>
    </row>
    <row r="532">
      <c r="B532" s="69"/>
    </row>
    <row r="533">
      <c r="B533" s="69"/>
    </row>
    <row r="534">
      <c r="B534" s="69"/>
    </row>
    <row r="535">
      <c r="B535" s="69"/>
    </row>
    <row r="536">
      <c r="B536" s="69"/>
    </row>
    <row r="537">
      <c r="B537" s="69"/>
    </row>
    <row r="538">
      <c r="B538" s="69"/>
    </row>
    <row r="539">
      <c r="B539" s="69"/>
    </row>
    <row r="540">
      <c r="B540" s="69"/>
    </row>
    <row r="541">
      <c r="B541" s="69"/>
    </row>
    <row r="542">
      <c r="B542" s="69"/>
    </row>
    <row r="543">
      <c r="B543" s="69"/>
    </row>
    <row r="544">
      <c r="B544" s="69"/>
    </row>
    <row r="545">
      <c r="B545" s="69"/>
    </row>
    <row r="546">
      <c r="B546" s="69"/>
    </row>
    <row r="547">
      <c r="B547" s="69"/>
    </row>
    <row r="548">
      <c r="B548" s="69"/>
    </row>
    <row r="549">
      <c r="B549" s="69"/>
    </row>
    <row r="550">
      <c r="B550" s="69"/>
    </row>
    <row r="551">
      <c r="B551" s="69"/>
    </row>
    <row r="552">
      <c r="B552" s="69"/>
    </row>
    <row r="553">
      <c r="B553" s="69"/>
    </row>
    <row r="554">
      <c r="B554" s="69"/>
    </row>
    <row r="555">
      <c r="B555" s="69"/>
    </row>
    <row r="556">
      <c r="B556" s="69"/>
    </row>
    <row r="557">
      <c r="B557" s="69"/>
    </row>
    <row r="558">
      <c r="B558" s="69"/>
    </row>
    <row r="559">
      <c r="B559" s="69"/>
    </row>
    <row r="560">
      <c r="B560" s="69"/>
    </row>
    <row r="561">
      <c r="B561" s="69"/>
    </row>
    <row r="562">
      <c r="B562" s="69"/>
    </row>
    <row r="563">
      <c r="B563" s="69"/>
    </row>
    <row r="564">
      <c r="B564" s="69"/>
    </row>
    <row r="565">
      <c r="B565" s="69"/>
    </row>
    <row r="566">
      <c r="B566" s="69"/>
    </row>
    <row r="567">
      <c r="B567" s="69"/>
    </row>
    <row r="568">
      <c r="B568" s="69"/>
    </row>
    <row r="569">
      <c r="B569" s="69"/>
    </row>
    <row r="570">
      <c r="B570" s="69"/>
    </row>
    <row r="571">
      <c r="B571" s="69"/>
    </row>
    <row r="572">
      <c r="B572" s="69"/>
    </row>
    <row r="573">
      <c r="B573" s="69"/>
    </row>
    <row r="574">
      <c r="B574" s="69"/>
    </row>
    <row r="575">
      <c r="B575" s="69"/>
    </row>
    <row r="576">
      <c r="B576" s="69"/>
    </row>
    <row r="577">
      <c r="B577" s="69"/>
    </row>
    <row r="578">
      <c r="B578" s="69"/>
    </row>
    <row r="579">
      <c r="B579" s="69"/>
    </row>
    <row r="580">
      <c r="B580" s="69"/>
    </row>
    <row r="581">
      <c r="B581" s="69"/>
    </row>
    <row r="582">
      <c r="B582" s="69"/>
    </row>
    <row r="583">
      <c r="B583" s="69"/>
    </row>
    <row r="584">
      <c r="B584" s="69"/>
    </row>
    <row r="585">
      <c r="B585" s="69"/>
    </row>
    <row r="586">
      <c r="B586" s="69"/>
    </row>
    <row r="587">
      <c r="B587" s="69"/>
    </row>
    <row r="588">
      <c r="B588" s="69"/>
    </row>
    <row r="589">
      <c r="B589" s="69"/>
    </row>
    <row r="590">
      <c r="B590" s="69"/>
    </row>
    <row r="591">
      <c r="B591" s="69"/>
    </row>
    <row r="592">
      <c r="B592" s="69"/>
    </row>
    <row r="593">
      <c r="B593" s="69"/>
    </row>
    <row r="594">
      <c r="B594" s="69"/>
    </row>
    <row r="595">
      <c r="B595" s="69"/>
    </row>
    <row r="596">
      <c r="B596" s="69"/>
    </row>
    <row r="597">
      <c r="B597" s="69"/>
    </row>
    <row r="598">
      <c r="B598" s="69"/>
    </row>
    <row r="599">
      <c r="B599" s="69"/>
    </row>
    <row r="600">
      <c r="B600" s="69"/>
    </row>
    <row r="601">
      <c r="B601" s="69"/>
    </row>
    <row r="602">
      <c r="B602" s="69"/>
    </row>
    <row r="603">
      <c r="B603" s="69"/>
    </row>
    <row r="604">
      <c r="B604" s="69"/>
    </row>
    <row r="605">
      <c r="B605" s="69"/>
    </row>
    <row r="606">
      <c r="B606" s="69"/>
    </row>
    <row r="607">
      <c r="B607" s="69"/>
    </row>
    <row r="608">
      <c r="B608" s="69"/>
    </row>
    <row r="609">
      <c r="B609" s="69"/>
    </row>
    <row r="610">
      <c r="B610" s="69"/>
    </row>
    <row r="611">
      <c r="B611" s="69"/>
    </row>
    <row r="612">
      <c r="B612" s="69"/>
    </row>
    <row r="613">
      <c r="B613" s="69"/>
    </row>
    <row r="614">
      <c r="B614" s="69"/>
    </row>
    <row r="615">
      <c r="B615" s="69"/>
    </row>
    <row r="616">
      <c r="B616" s="69"/>
    </row>
    <row r="617">
      <c r="B617" s="69"/>
    </row>
    <row r="618">
      <c r="B618" s="69"/>
    </row>
    <row r="619">
      <c r="B619" s="69"/>
    </row>
    <row r="620">
      <c r="B620" s="69"/>
    </row>
    <row r="621">
      <c r="B621" s="69"/>
    </row>
    <row r="622">
      <c r="B622" s="69"/>
    </row>
    <row r="623">
      <c r="B623" s="69"/>
    </row>
    <row r="624">
      <c r="B624" s="69"/>
    </row>
    <row r="625">
      <c r="B625" s="69"/>
    </row>
    <row r="626">
      <c r="B626" s="69"/>
    </row>
    <row r="627">
      <c r="B627" s="69"/>
    </row>
    <row r="628">
      <c r="B628" s="69"/>
    </row>
    <row r="629">
      <c r="B629" s="69"/>
    </row>
    <row r="630">
      <c r="B630" s="69"/>
    </row>
    <row r="631">
      <c r="B631" s="69"/>
    </row>
    <row r="632">
      <c r="B632" s="69"/>
    </row>
    <row r="633">
      <c r="B633" s="69"/>
    </row>
    <row r="634">
      <c r="B634" s="69"/>
    </row>
    <row r="635">
      <c r="B635" s="69"/>
    </row>
    <row r="636">
      <c r="B636" s="69"/>
    </row>
    <row r="637">
      <c r="B637" s="69"/>
    </row>
    <row r="638">
      <c r="B638" s="69"/>
    </row>
    <row r="639">
      <c r="B639" s="69"/>
    </row>
    <row r="640">
      <c r="B640" s="69"/>
    </row>
    <row r="641">
      <c r="B641" s="69"/>
    </row>
    <row r="642">
      <c r="B642" s="69"/>
    </row>
    <row r="643">
      <c r="B643" s="69"/>
    </row>
    <row r="644">
      <c r="B644" s="69"/>
    </row>
    <row r="645">
      <c r="B645" s="69"/>
    </row>
    <row r="646">
      <c r="B646" s="69"/>
    </row>
    <row r="647">
      <c r="B647" s="69"/>
    </row>
    <row r="648">
      <c r="B648" s="69"/>
    </row>
    <row r="649">
      <c r="B649" s="69"/>
    </row>
    <row r="650">
      <c r="B650" s="69"/>
    </row>
    <row r="651">
      <c r="B651" s="69"/>
    </row>
    <row r="652">
      <c r="B652" s="69"/>
    </row>
    <row r="653">
      <c r="B653" s="69"/>
    </row>
    <row r="654">
      <c r="B654" s="69"/>
    </row>
    <row r="655">
      <c r="B655" s="69"/>
    </row>
    <row r="656">
      <c r="B656" s="69"/>
    </row>
    <row r="657">
      <c r="B657" s="69"/>
    </row>
    <row r="658">
      <c r="B658" s="69"/>
    </row>
    <row r="659">
      <c r="B659" s="69"/>
    </row>
    <row r="660">
      <c r="B660" s="69"/>
    </row>
    <row r="661">
      <c r="B661" s="69"/>
    </row>
    <row r="662">
      <c r="B662" s="69"/>
    </row>
    <row r="663">
      <c r="B663" s="69"/>
    </row>
    <row r="664">
      <c r="B664" s="69"/>
    </row>
    <row r="665">
      <c r="B665" s="69"/>
    </row>
    <row r="666">
      <c r="B666" s="69"/>
    </row>
    <row r="667">
      <c r="B667" s="69"/>
    </row>
    <row r="668">
      <c r="B668" s="69"/>
    </row>
    <row r="669">
      <c r="B669" s="69"/>
    </row>
    <row r="670">
      <c r="B670" s="69"/>
    </row>
    <row r="671">
      <c r="B671" s="69"/>
    </row>
    <row r="672">
      <c r="B672" s="69"/>
    </row>
    <row r="673">
      <c r="B673" s="69"/>
    </row>
    <row r="674">
      <c r="B674" s="69"/>
    </row>
    <row r="675">
      <c r="B675" s="69"/>
    </row>
    <row r="676">
      <c r="B676" s="69"/>
    </row>
    <row r="677">
      <c r="B677" s="69"/>
    </row>
    <row r="678">
      <c r="B678" s="69"/>
    </row>
    <row r="679">
      <c r="B679" s="69"/>
    </row>
    <row r="680">
      <c r="B680" s="69"/>
    </row>
    <row r="681">
      <c r="B681" s="69"/>
    </row>
    <row r="682">
      <c r="B682" s="69"/>
    </row>
    <row r="683">
      <c r="B683" s="69"/>
    </row>
    <row r="684">
      <c r="B684" s="69"/>
    </row>
    <row r="685">
      <c r="B685" s="69"/>
    </row>
    <row r="686">
      <c r="B686" s="69"/>
    </row>
    <row r="687">
      <c r="B687" s="69"/>
    </row>
    <row r="688">
      <c r="B688" s="69"/>
    </row>
    <row r="689">
      <c r="B689" s="69"/>
    </row>
    <row r="690">
      <c r="B690" s="69"/>
    </row>
    <row r="691">
      <c r="B691" s="69"/>
    </row>
    <row r="692">
      <c r="B692" s="69"/>
    </row>
    <row r="693">
      <c r="B693" s="69"/>
    </row>
    <row r="694">
      <c r="B694" s="69"/>
    </row>
    <row r="695">
      <c r="B695" s="69"/>
    </row>
    <row r="696">
      <c r="B696" s="69"/>
    </row>
    <row r="697">
      <c r="B697" s="69"/>
    </row>
    <row r="698">
      <c r="B698" s="69"/>
    </row>
    <row r="699">
      <c r="B699" s="69"/>
    </row>
    <row r="700">
      <c r="B700" s="69"/>
    </row>
    <row r="701">
      <c r="B701" s="69"/>
    </row>
    <row r="702">
      <c r="B702" s="69"/>
    </row>
    <row r="703">
      <c r="B703" s="69"/>
    </row>
    <row r="704">
      <c r="B704" s="69"/>
    </row>
    <row r="705">
      <c r="B705" s="69"/>
    </row>
    <row r="706">
      <c r="B706" s="69"/>
    </row>
    <row r="707">
      <c r="B707" s="69"/>
    </row>
    <row r="708">
      <c r="B708" s="69"/>
    </row>
    <row r="709">
      <c r="B709" s="69"/>
    </row>
    <row r="710">
      <c r="B710" s="69"/>
    </row>
    <row r="711">
      <c r="B711" s="69"/>
    </row>
    <row r="712">
      <c r="B712" s="69"/>
    </row>
    <row r="713">
      <c r="B713" s="69"/>
    </row>
    <row r="714">
      <c r="B714" s="69"/>
    </row>
    <row r="715">
      <c r="B715" s="69"/>
    </row>
    <row r="716">
      <c r="B716" s="69"/>
    </row>
    <row r="717">
      <c r="B717" s="69"/>
    </row>
    <row r="718">
      <c r="B718" s="69"/>
    </row>
    <row r="719">
      <c r="B719" s="69"/>
    </row>
    <row r="720">
      <c r="B720" s="69"/>
    </row>
    <row r="721">
      <c r="B721" s="69"/>
    </row>
    <row r="722">
      <c r="B722" s="69"/>
    </row>
    <row r="723">
      <c r="B723" s="69"/>
    </row>
    <row r="724">
      <c r="B724" s="69"/>
    </row>
    <row r="725">
      <c r="B725" s="69"/>
    </row>
    <row r="726">
      <c r="B726" s="69"/>
    </row>
    <row r="727">
      <c r="B727" s="69"/>
    </row>
    <row r="728">
      <c r="B728" s="69"/>
    </row>
    <row r="729">
      <c r="B729" s="69"/>
    </row>
    <row r="730">
      <c r="B730" s="69"/>
    </row>
    <row r="731">
      <c r="B731" s="69"/>
    </row>
    <row r="732">
      <c r="B732" s="69"/>
    </row>
    <row r="733">
      <c r="B733" s="69"/>
    </row>
    <row r="734">
      <c r="B734" s="69"/>
    </row>
    <row r="735">
      <c r="B735" s="69"/>
    </row>
    <row r="736">
      <c r="B736" s="69"/>
    </row>
    <row r="737">
      <c r="B737" s="69"/>
    </row>
    <row r="738">
      <c r="B738" s="69"/>
    </row>
    <row r="739">
      <c r="B739" s="69"/>
    </row>
    <row r="740">
      <c r="B740" s="69"/>
    </row>
    <row r="741">
      <c r="B741" s="69"/>
    </row>
    <row r="742">
      <c r="B742" s="69"/>
    </row>
    <row r="743">
      <c r="B743" s="69"/>
    </row>
    <row r="744">
      <c r="B744" s="69"/>
    </row>
    <row r="745">
      <c r="B745" s="69"/>
    </row>
    <row r="746">
      <c r="B746" s="69"/>
    </row>
    <row r="747">
      <c r="B747" s="69"/>
    </row>
    <row r="748">
      <c r="B748" s="69"/>
    </row>
    <row r="749">
      <c r="B749" s="69"/>
    </row>
    <row r="750">
      <c r="B750" s="69"/>
    </row>
    <row r="751">
      <c r="B751" s="69"/>
    </row>
    <row r="752">
      <c r="B752" s="69"/>
    </row>
    <row r="753">
      <c r="B753" s="69"/>
    </row>
    <row r="754">
      <c r="B754" s="69"/>
    </row>
    <row r="755">
      <c r="B755" s="69"/>
    </row>
    <row r="756">
      <c r="B756" s="69"/>
    </row>
    <row r="757">
      <c r="B757" s="69"/>
    </row>
    <row r="758">
      <c r="B758" s="69"/>
    </row>
    <row r="759">
      <c r="B759" s="69"/>
    </row>
    <row r="760">
      <c r="B760" s="69"/>
    </row>
    <row r="761">
      <c r="B761" s="69"/>
    </row>
    <row r="762">
      <c r="B762" s="69"/>
    </row>
    <row r="763">
      <c r="B763" s="69"/>
    </row>
    <row r="764">
      <c r="B764" s="69"/>
    </row>
    <row r="765">
      <c r="B765" s="69"/>
    </row>
    <row r="766">
      <c r="B766" s="69"/>
    </row>
    <row r="767">
      <c r="B767" s="69"/>
    </row>
    <row r="768">
      <c r="B768" s="69"/>
    </row>
    <row r="769">
      <c r="B769" s="69"/>
    </row>
    <row r="770">
      <c r="B770" s="69"/>
    </row>
    <row r="771">
      <c r="B771" s="69"/>
    </row>
    <row r="772">
      <c r="B772" s="69"/>
    </row>
    <row r="773">
      <c r="B773" s="69"/>
    </row>
    <row r="774">
      <c r="B774" s="69"/>
    </row>
    <row r="775">
      <c r="B775" s="69"/>
    </row>
    <row r="776">
      <c r="B776" s="69"/>
    </row>
    <row r="777">
      <c r="B777" s="69"/>
    </row>
    <row r="778">
      <c r="B778" s="69"/>
    </row>
    <row r="779">
      <c r="B779" s="69"/>
    </row>
    <row r="780">
      <c r="B780" s="69"/>
    </row>
    <row r="781">
      <c r="B781" s="69"/>
    </row>
    <row r="782">
      <c r="B782" s="69"/>
    </row>
    <row r="783">
      <c r="B783" s="69"/>
    </row>
    <row r="784">
      <c r="B784" s="69"/>
    </row>
    <row r="785">
      <c r="B785" s="69"/>
    </row>
    <row r="786">
      <c r="B786" s="69"/>
    </row>
    <row r="787">
      <c r="B787" s="69"/>
    </row>
    <row r="788">
      <c r="B788" s="69"/>
    </row>
    <row r="789">
      <c r="B789" s="69"/>
    </row>
    <row r="790">
      <c r="B790" s="69"/>
    </row>
    <row r="791">
      <c r="B791" s="69"/>
    </row>
    <row r="792">
      <c r="B792" s="69"/>
    </row>
    <row r="793">
      <c r="B793" s="69"/>
    </row>
    <row r="794">
      <c r="B794" s="69"/>
    </row>
    <row r="795">
      <c r="B795" s="69"/>
    </row>
    <row r="796">
      <c r="B796" s="69"/>
    </row>
    <row r="797">
      <c r="B797" s="69"/>
    </row>
    <row r="798">
      <c r="B798" s="69"/>
    </row>
    <row r="799">
      <c r="B799" s="69"/>
    </row>
    <row r="800">
      <c r="B800" s="69"/>
    </row>
    <row r="801">
      <c r="B801" s="69"/>
    </row>
    <row r="802">
      <c r="B802" s="69"/>
    </row>
    <row r="803">
      <c r="B803" s="69"/>
    </row>
    <row r="804">
      <c r="B804" s="69"/>
    </row>
    <row r="805">
      <c r="B805" s="69"/>
    </row>
    <row r="806">
      <c r="B806" s="69"/>
    </row>
    <row r="807">
      <c r="B807" s="69"/>
    </row>
    <row r="808">
      <c r="B808" s="69"/>
    </row>
    <row r="809">
      <c r="B809" s="69"/>
    </row>
    <row r="810">
      <c r="B810" s="69"/>
    </row>
    <row r="811">
      <c r="B811" s="69"/>
    </row>
    <row r="812">
      <c r="B812" s="69"/>
    </row>
    <row r="813">
      <c r="B813" s="69"/>
    </row>
    <row r="814">
      <c r="B814" s="69"/>
    </row>
    <row r="815">
      <c r="B815" s="69"/>
    </row>
    <row r="816">
      <c r="B816" s="69"/>
    </row>
    <row r="817">
      <c r="B817" s="69"/>
    </row>
    <row r="818">
      <c r="B818" s="69"/>
    </row>
    <row r="819">
      <c r="B819" s="69"/>
    </row>
    <row r="820">
      <c r="B820" s="69"/>
    </row>
    <row r="821">
      <c r="B821" s="69"/>
    </row>
    <row r="822">
      <c r="B822" s="69"/>
    </row>
    <row r="823">
      <c r="B823" s="69"/>
    </row>
    <row r="824">
      <c r="B824" s="69"/>
    </row>
    <row r="825">
      <c r="B825" s="69"/>
    </row>
    <row r="826">
      <c r="B826" s="69"/>
    </row>
    <row r="827">
      <c r="B827" s="69"/>
    </row>
    <row r="828">
      <c r="B828" s="69"/>
    </row>
    <row r="829">
      <c r="B829" s="69"/>
    </row>
    <row r="830">
      <c r="B830" s="69"/>
    </row>
    <row r="831">
      <c r="B831" s="69"/>
    </row>
    <row r="832">
      <c r="B832" s="69"/>
    </row>
    <row r="833">
      <c r="B833" s="69"/>
    </row>
    <row r="834">
      <c r="B834" s="69"/>
    </row>
    <row r="835">
      <c r="B835" s="69"/>
    </row>
    <row r="836">
      <c r="B836" s="69"/>
    </row>
    <row r="837">
      <c r="B837" s="69"/>
    </row>
    <row r="838">
      <c r="B838" s="69"/>
    </row>
    <row r="839">
      <c r="B839" s="69"/>
    </row>
    <row r="840">
      <c r="B840" s="69"/>
    </row>
    <row r="841">
      <c r="B841" s="69"/>
    </row>
    <row r="842">
      <c r="B842" s="69"/>
    </row>
    <row r="843">
      <c r="B843" s="69"/>
    </row>
    <row r="844">
      <c r="B844" s="69"/>
    </row>
    <row r="845">
      <c r="B845" s="69"/>
    </row>
    <row r="846">
      <c r="B846" s="69"/>
    </row>
    <row r="847">
      <c r="B847" s="69"/>
    </row>
    <row r="848">
      <c r="B848" s="69"/>
    </row>
    <row r="849">
      <c r="B849" s="69"/>
    </row>
    <row r="850">
      <c r="B850" s="69"/>
    </row>
    <row r="851">
      <c r="B851" s="69"/>
    </row>
    <row r="852">
      <c r="B852" s="69"/>
    </row>
    <row r="853">
      <c r="B853" s="69"/>
    </row>
    <row r="854">
      <c r="B854" s="69"/>
    </row>
    <row r="855">
      <c r="B855" s="69"/>
    </row>
    <row r="856">
      <c r="B856" s="69"/>
    </row>
    <row r="857">
      <c r="B857" s="69"/>
    </row>
    <row r="858">
      <c r="B858" s="69"/>
    </row>
    <row r="859">
      <c r="B859" s="69"/>
    </row>
    <row r="860">
      <c r="B860" s="69"/>
    </row>
    <row r="861">
      <c r="B861" s="69"/>
    </row>
    <row r="862">
      <c r="B862" s="69"/>
    </row>
    <row r="863">
      <c r="B863" s="69"/>
    </row>
    <row r="864">
      <c r="B864" s="69"/>
    </row>
    <row r="865">
      <c r="B865" s="69"/>
    </row>
    <row r="866">
      <c r="B866" s="69"/>
    </row>
    <row r="867">
      <c r="B867" s="69"/>
    </row>
    <row r="868">
      <c r="B868" s="69"/>
    </row>
    <row r="869">
      <c r="B869" s="69"/>
    </row>
    <row r="870">
      <c r="B870" s="69"/>
    </row>
    <row r="871">
      <c r="B871" s="69"/>
    </row>
    <row r="872">
      <c r="B872" s="69"/>
    </row>
    <row r="873">
      <c r="B873" s="69"/>
    </row>
    <row r="874">
      <c r="B874" s="69"/>
    </row>
    <row r="875">
      <c r="B875" s="69"/>
    </row>
    <row r="876">
      <c r="B876" s="69"/>
    </row>
    <row r="877">
      <c r="B877" s="69"/>
    </row>
    <row r="878">
      <c r="B878" s="69"/>
    </row>
    <row r="879">
      <c r="B879" s="69"/>
    </row>
    <row r="880">
      <c r="B880" s="69"/>
    </row>
    <row r="881">
      <c r="B881" s="69"/>
    </row>
    <row r="882">
      <c r="B882" s="69"/>
    </row>
    <row r="883">
      <c r="B883" s="69"/>
    </row>
    <row r="884">
      <c r="B884" s="69"/>
    </row>
    <row r="885">
      <c r="B885" s="69"/>
    </row>
    <row r="886">
      <c r="B886" s="69"/>
    </row>
    <row r="887">
      <c r="B887" s="69"/>
    </row>
    <row r="888">
      <c r="B888" s="69"/>
    </row>
    <row r="889">
      <c r="B889" s="69"/>
    </row>
    <row r="890">
      <c r="B890" s="69"/>
    </row>
    <row r="891">
      <c r="B891" s="69"/>
    </row>
    <row r="892">
      <c r="B892" s="69"/>
    </row>
    <row r="893">
      <c r="B893" s="69"/>
    </row>
    <row r="894">
      <c r="B894" s="69"/>
    </row>
    <row r="895">
      <c r="B895" s="69"/>
    </row>
    <row r="896">
      <c r="B896" s="69"/>
    </row>
    <row r="897">
      <c r="B897" s="69"/>
    </row>
    <row r="898">
      <c r="B898" s="69"/>
    </row>
    <row r="899">
      <c r="B899" s="69"/>
    </row>
    <row r="900">
      <c r="B900" s="69"/>
    </row>
    <row r="901">
      <c r="B901" s="69"/>
    </row>
    <row r="902">
      <c r="B902" s="69"/>
    </row>
    <row r="903">
      <c r="B903" s="69"/>
    </row>
    <row r="904">
      <c r="B904" s="69"/>
    </row>
    <row r="905">
      <c r="B905" s="69"/>
    </row>
    <row r="906">
      <c r="B906" s="69"/>
    </row>
    <row r="907">
      <c r="B907" s="69"/>
    </row>
    <row r="908">
      <c r="B908" s="69"/>
    </row>
    <row r="909">
      <c r="B909" s="69"/>
    </row>
    <row r="910">
      <c r="B910" s="69"/>
    </row>
    <row r="911">
      <c r="B911" s="69"/>
    </row>
    <row r="912">
      <c r="B912" s="69"/>
    </row>
    <row r="913">
      <c r="B913" s="69"/>
    </row>
    <row r="914">
      <c r="B914" s="69"/>
    </row>
    <row r="915">
      <c r="B915" s="69"/>
    </row>
    <row r="916">
      <c r="B916" s="69"/>
    </row>
    <row r="917">
      <c r="B917" s="69"/>
    </row>
    <row r="918">
      <c r="B918" s="69"/>
    </row>
    <row r="919">
      <c r="B919" s="69"/>
    </row>
    <row r="920">
      <c r="B920" s="69"/>
    </row>
    <row r="921">
      <c r="B921" s="69"/>
    </row>
    <row r="922">
      <c r="B922" s="69"/>
    </row>
    <row r="923">
      <c r="B923" s="69"/>
    </row>
    <row r="924">
      <c r="B924" s="69"/>
    </row>
    <row r="925">
      <c r="B925" s="69"/>
    </row>
    <row r="926">
      <c r="B926" s="69"/>
    </row>
    <row r="927">
      <c r="B927" s="69"/>
    </row>
    <row r="928">
      <c r="B928" s="69"/>
    </row>
    <row r="929">
      <c r="B929" s="69"/>
    </row>
    <row r="930">
      <c r="B930" s="69"/>
    </row>
    <row r="931">
      <c r="B931" s="69"/>
    </row>
    <row r="932">
      <c r="B932" s="69"/>
    </row>
    <row r="933">
      <c r="B933" s="69"/>
    </row>
    <row r="934">
      <c r="B934" s="69"/>
    </row>
    <row r="935">
      <c r="B935" s="69"/>
    </row>
    <row r="936">
      <c r="B936" s="69"/>
    </row>
    <row r="937">
      <c r="B937" s="69"/>
    </row>
    <row r="938">
      <c r="B938" s="69"/>
    </row>
    <row r="939">
      <c r="B939" s="69"/>
    </row>
    <row r="940">
      <c r="B940" s="69"/>
    </row>
    <row r="941">
      <c r="B941" s="69"/>
    </row>
    <row r="942">
      <c r="B942" s="69"/>
    </row>
    <row r="943">
      <c r="B943" s="69"/>
    </row>
    <row r="944">
      <c r="B944" s="69"/>
    </row>
    <row r="945">
      <c r="B945" s="69"/>
    </row>
    <row r="946">
      <c r="B946" s="69"/>
    </row>
    <row r="947">
      <c r="B947" s="69"/>
    </row>
    <row r="948">
      <c r="B948" s="69"/>
    </row>
    <row r="949">
      <c r="B949" s="69"/>
    </row>
    <row r="950">
      <c r="B950" s="69"/>
    </row>
    <row r="951">
      <c r="B951" s="69"/>
    </row>
    <row r="952">
      <c r="B952" s="69"/>
    </row>
    <row r="953">
      <c r="B953" s="69"/>
    </row>
    <row r="954">
      <c r="B954" s="69"/>
    </row>
    <row r="955">
      <c r="B955" s="69"/>
    </row>
    <row r="956">
      <c r="B956" s="69"/>
    </row>
    <row r="957">
      <c r="B957" s="69"/>
    </row>
    <row r="958">
      <c r="B958" s="69"/>
    </row>
    <row r="959">
      <c r="B959" s="69"/>
    </row>
    <row r="960">
      <c r="B960" s="69"/>
    </row>
    <row r="961">
      <c r="B961" s="69"/>
    </row>
    <row r="962">
      <c r="B962" s="69"/>
    </row>
  </sheetData>
  <mergeCells count="602">
    <mergeCell ref="F46:F48"/>
    <mergeCell ref="F59:F61"/>
    <mergeCell ref="F66:F69"/>
    <mergeCell ref="G66:G69"/>
    <mergeCell ref="F70:F72"/>
    <mergeCell ref="G70:G72"/>
    <mergeCell ref="F73:F74"/>
    <mergeCell ref="G73:G74"/>
    <mergeCell ref="F75:F76"/>
    <mergeCell ref="G75:G76"/>
    <mergeCell ref="G82:G83"/>
    <mergeCell ref="F84:F86"/>
    <mergeCell ref="G84:G86"/>
    <mergeCell ref="F87:F88"/>
    <mergeCell ref="G87:G88"/>
    <mergeCell ref="F44:F45"/>
    <mergeCell ref="F82:F83"/>
    <mergeCell ref="F108:F110"/>
    <mergeCell ref="G108:G110"/>
    <mergeCell ref="F111:F112"/>
    <mergeCell ref="G111:G112"/>
    <mergeCell ref="F113:F114"/>
    <mergeCell ref="G113:G114"/>
    <mergeCell ref="F32:F34"/>
    <mergeCell ref="G32:G34"/>
    <mergeCell ref="K40:K76"/>
    <mergeCell ref="G44:G45"/>
    <mergeCell ref="G46:G48"/>
    <mergeCell ref="J57:J58"/>
    <mergeCell ref="K78:K114"/>
    <mergeCell ref="F89:F92"/>
    <mergeCell ref="G89:G92"/>
    <mergeCell ref="F93:F96"/>
    <mergeCell ref="G93:G96"/>
    <mergeCell ref="H95:H96"/>
    <mergeCell ref="I95:I96"/>
    <mergeCell ref="J95:J96"/>
    <mergeCell ref="F97:F99"/>
    <mergeCell ref="G97:G99"/>
    <mergeCell ref="F100:F101"/>
    <mergeCell ref="G100:G101"/>
    <mergeCell ref="F102:F103"/>
    <mergeCell ref="G102:G103"/>
    <mergeCell ref="F104:F107"/>
    <mergeCell ref="G104:G107"/>
    <mergeCell ref="E169:E172"/>
    <mergeCell ref="E173:E175"/>
    <mergeCell ref="E120:E121"/>
    <mergeCell ref="E122:E124"/>
    <mergeCell ref="E154:E157"/>
    <mergeCell ref="E158:E159"/>
    <mergeCell ref="E160:E162"/>
    <mergeCell ref="E163:E164"/>
    <mergeCell ref="E165:E168"/>
    <mergeCell ref="D116:D126"/>
    <mergeCell ref="D154:D164"/>
    <mergeCell ref="D165:D175"/>
    <mergeCell ref="D176:D179"/>
    <mergeCell ref="D180:D186"/>
    <mergeCell ref="D187:D190"/>
    <mergeCell ref="D192:D202"/>
    <mergeCell ref="D203:D213"/>
    <mergeCell ref="D214:D217"/>
    <mergeCell ref="D218:D224"/>
    <mergeCell ref="D225:D228"/>
    <mergeCell ref="D230:D240"/>
    <mergeCell ref="D241:D251"/>
    <mergeCell ref="D252:D255"/>
    <mergeCell ref="D256:D262"/>
    <mergeCell ref="D263:D266"/>
    <mergeCell ref="D268:D278"/>
    <mergeCell ref="D279:D289"/>
    <mergeCell ref="D290:D293"/>
    <mergeCell ref="D294:D300"/>
    <mergeCell ref="D301:D304"/>
    <mergeCell ref="D366:D369"/>
    <mergeCell ref="D370:D376"/>
    <mergeCell ref="D377:D380"/>
    <mergeCell ref="D306:D316"/>
    <mergeCell ref="D317:D327"/>
    <mergeCell ref="D328:D331"/>
    <mergeCell ref="D332:D338"/>
    <mergeCell ref="D339:D342"/>
    <mergeCell ref="D344:D354"/>
    <mergeCell ref="D355:D365"/>
    <mergeCell ref="C78:C88"/>
    <mergeCell ref="B89:B99"/>
    <mergeCell ref="C89:C99"/>
    <mergeCell ref="B35:B38"/>
    <mergeCell ref="C35:C38"/>
    <mergeCell ref="A40:A76"/>
    <mergeCell ref="B40:B50"/>
    <mergeCell ref="C40:C50"/>
    <mergeCell ref="C51:C61"/>
    <mergeCell ref="A78:A114"/>
    <mergeCell ref="B180:B186"/>
    <mergeCell ref="C180:C186"/>
    <mergeCell ref="B187:B190"/>
    <mergeCell ref="C187:C190"/>
    <mergeCell ref="B176:B179"/>
    <mergeCell ref="B192:B202"/>
    <mergeCell ref="B214:B217"/>
    <mergeCell ref="C214:C217"/>
    <mergeCell ref="B218:B224"/>
    <mergeCell ref="C218:C224"/>
    <mergeCell ref="E189:E190"/>
    <mergeCell ref="E192:E195"/>
    <mergeCell ref="E196:E197"/>
    <mergeCell ref="E198:E200"/>
    <mergeCell ref="E201:E202"/>
    <mergeCell ref="E203:E206"/>
    <mergeCell ref="E207:E210"/>
    <mergeCell ref="E211:E213"/>
    <mergeCell ref="E214:E215"/>
    <mergeCell ref="E216:E217"/>
    <mergeCell ref="E218:E221"/>
    <mergeCell ref="E222:E224"/>
    <mergeCell ref="E225:E226"/>
    <mergeCell ref="E227:E228"/>
    <mergeCell ref="E252:E253"/>
    <mergeCell ref="E254:E255"/>
    <mergeCell ref="E256:E259"/>
    <mergeCell ref="E260:E262"/>
    <mergeCell ref="E263:E264"/>
    <mergeCell ref="E265:E266"/>
    <mergeCell ref="E268:E271"/>
    <mergeCell ref="E272:E273"/>
    <mergeCell ref="E274:E276"/>
    <mergeCell ref="E277:E278"/>
    <mergeCell ref="E279:E282"/>
    <mergeCell ref="E283:E286"/>
    <mergeCell ref="E287:E289"/>
    <mergeCell ref="E290:E291"/>
    <mergeCell ref="E292:E293"/>
    <mergeCell ref="E294:E297"/>
    <mergeCell ref="E298:E300"/>
    <mergeCell ref="E301:E302"/>
    <mergeCell ref="E303:E304"/>
    <mergeCell ref="E306:E309"/>
    <mergeCell ref="E310:E311"/>
    <mergeCell ref="E312:E314"/>
    <mergeCell ref="E315:E316"/>
    <mergeCell ref="E317:E320"/>
    <mergeCell ref="E321:E324"/>
    <mergeCell ref="E325:E327"/>
    <mergeCell ref="E328:E329"/>
    <mergeCell ref="E330:E331"/>
    <mergeCell ref="E332:E335"/>
    <mergeCell ref="E336:E338"/>
    <mergeCell ref="E339:E340"/>
    <mergeCell ref="E341:E342"/>
    <mergeCell ref="E344:E347"/>
    <mergeCell ref="E348:E349"/>
    <mergeCell ref="E350:E352"/>
    <mergeCell ref="E374:E376"/>
    <mergeCell ref="E377:E378"/>
    <mergeCell ref="E379:E380"/>
    <mergeCell ref="E353:E354"/>
    <mergeCell ref="E355:E358"/>
    <mergeCell ref="E359:E362"/>
    <mergeCell ref="E363:E365"/>
    <mergeCell ref="E366:E367"/>
    <mergeCell ref="E368:E369"/>
    <mergeCell ref="E370:E373"/>
    <mergeCell ref="E66:E69"/>
    <mergeCell ref="E70:E72"/>
    <mergeCell ref="E46:E48"/>
    <mergeCell ref="E49:E50"/>
    <mergeCell ref="D51:D61"/>
    <mergeCell ref="E51:E54"/>
    <mergeCell ref="E55:E58"/>
    <mergeCell ref="E59:E61"/>
    <mergeCell ref="D66:D72"/>
    <mergeCell ref="E93:E96"/>
    <mergeCell ref="E97:E99"/>
    <mergeCell ref="D78:D88"/>
    <mergeCell ref="E78:E81"/>
    <mergeCell ref="E82:E83"/>
    <mergeCell ref="E84:E86"/>
    <mergeCell ref="E87:E88"/>
    <mergeCell ref="D89:D99"/>
    <mergeCell ref="E89:E92"/>
    <mergeCell ref="D100:D103"/>
    <mergeCell ref="E100:E101"/>
    <mergeCell ref="E102:E103"/>
    <mergeCell ref="D104:D110"/>
    <mergeCell ref="E104:E107"/>
    <mergeCell ref="D111:D114"/>
    <mergeCell ref="E125:E126"/>
    <mergeCell ref="E111:E112"/>
    <mergeCell ref="E113:E114"/>
    <mergeCell ref="E176:E177"/>
    <mergeCell ref="E178:E179"/>
    <mergeCell ref="E180:E183"/>
    <mergeCell ref="E184:E186"/>
    <mergeCell ref="E187:E188"/>
    <mergeCell ref="E230:E233"/>
    <mergeCell ref="E234:E235"/>
    <mergeCell ref="E236:E238"/>
    <mergeCell ref="E239:E240"/>
    <mergeCell ref="E241:E244"/>
    <mergeCell ref="E245:E248"/>
    <mergeCell ref="E249:E251"/>
    <mergeCell ref="B290:B293"/>
    <mergeCell ref="B294:B300"/>
    <mergeCell ref="C294:C300"/>
    <mergeCell ref="C301:C304"/>
    <mergeCell ref="C306:C316"/>
    <mergeCell ref="B306:B316"/>
    <mergeCell ref="B317:B327"/>
    <mergeCell ref="C317:C327"/>
    <mergeCell ref="B328:B331"/>
    <mergeCell ref="C328:C331"/>
    <mergeCell ref="B332:B338"/>
    <mergeCell ref="C332:C338"/>
    <mergeCell ref="C192:C202"/>
    <mergeCell ref="B203:B213"/>
    <mergeCell ref="C203:C213"/>
    <mergeCell ref="B225:B228"/>
    <mergeCell ref="C225:C228"/>
    <mergeCell ref="C230:C240"/>
    <mergeCell ref="C241:C251"/>
    <mergeCell ref="C252:C255"/>
    <mergeCell ref="C256:C262"/>
    <mergeCell ref="C263:C266"/>
    <mergeCell ref="C268:C278"/>
    <mergeCell ref="A154:A190"/>
    <mergeCell ref="B154:B164"/>
    <mergeCell ref="C154:C164"/>
    <mergeCell ref="B165:B175"/>
    <mergeCell ref="C165:C175"/>
    <mergeCell ref="C176:C179"/>
    <mergeCell ref="A192:A228"/>
    <mergeCell ref="B268:B278"/>
    <mergeCell ref="B279:B289"/>
    <mergeCell ref="C279:C289"/>
    <mergeCell ref="C290:C293"/>
    <mergeCell ref="A268:A304"/>
    <mergeCell ref="A306:A342"/>
    <mergeCell ref="A344:A380"/>
    <mergeCell ref="A230:A266"/>
    <mergeCell ref="B230:B240"/>
    <mergeCell ref="B241:B251"/>
    <mergeCell ref="B252:B255"/>
    <mergeCell ref="B256:B262"/>
    <mergeCell ref="B263:B266"/>
    <mergeCell ref="B301:B304"/>
    <mergeCell ref="B366:B369"/>
    <mergeCell ref="B370:B376"/>
    <mergeCell ref="C370:C376"/>
    <mergeCell ref="B377:B380"/>
    <mergeCell ref="C377:C380"/>
    <mergeCell ref="B339:B342"/>
    <mergeCell ref="C339:C342"/>
    <mergeCell ref="B344:B354"/>
    <mergeCell ref="C344:C354"/>
    <mergeCell ref="B355:B365"/>
    <mergeCell ref="C355:C365"/>
    <mergeCell ref="C366:C369"/>
    <mergeCell ref="E2:E5"/>
    <mergeCell ref="E6:E7"/>
    <mergeCell ref="F6:F7"/>
    <mergeCell ref="G6:G7"/>
    <mergeCell ref="E8:E10"/>
    <mergeCell ref="F8:F10"/>
    <mergeCell ref="D2:D12"/>
    <mergeCell ref="E11:E12"/>
    <mergeCell ref="F11:F12"/>
    <mergeCell ref="G11:G12"/>
    <mergeCell ref="B13:B23"/>
    <mergeCell ref="C13:C23"/>
    <mergeCell ref="F13:F16"/>
    <mergeCell ref="G13:G16"/>
    <mergeCell ref="D13:D23"/>
    <mergeCell ref="E13:E16"/>
    <mergeCell ref="E17:E20"/>
    <mergeCell ref="E21:E23"/>
    <mergeCell ref="F17:F20"/>
    <mergeCell ref="G17:G20"/>
    <mergeCell ref="H19:H20"/>
    <mergeCell ref="I19:I20"/>
    <mergeCell ref="F2:F5"/>
    <mergeCell ref="F21:F23"/>
    <mergeCell ref="C24:C27"/>
    <mergeCell ref="D24:D27"/>
    <mergeCell ref="E24:E25"/>
    <mergeCell ref="F24:F25"/>
    <mergeCell ref="G24:G25"/>
    <mergeCell ref="E26:E27"/>
    <mergeCell ref="B2:B12"/>
    <mergeCell ref="B24:B27"/>
    <mergeCell ref="F35:F36"/>
    <mergeCell ref="G35:G36"/>
    <mergeCell ref="E37:E38"/>
    <mergeCell ref="F37:F38"/>
    <mergeCell ref="A2:A38"/>
    <mergeCell ref="C2:C12"/>
    <mergeCell ref="G2:G5"/>
    <mergeCell ref="K2:K38"/>
    <mergeCell ref="G8:G10"/>
    <mergeCell ref="J19:J20"/>
    <mergeCell ref="G21:G23"/>
    <mergeCell ref="G37:G38"/>
    <mergeCell ref="F49:F50"/>
    <mergeCell ref="G49:G50"/>
    <mergeCell ref="F51:F54"/>
    <mergeCell ref="G51:G54"/>
    <mergeCell ref="F55:F58"/>
    <mergeCell ref="G55:G58"/>
    <mergeCell ref="H57:H58"/>
    <mergeCell ref="I57:I58"/>
    <mergeCell ref="G59:G61"/>
    <mergeCell ref="H60:H61"/>
    <mergeCell ref="I60:I61"/>
    <mergeCell ref="J60:J61"/>
    <mergeCell ref="F62:F63"/>
    <mergeCell ref="G62:G63"/>
    <mergeCell ref="F26:F27"/>
    <mergeCell ref="G26:G27"/>
    <mergeCell ref="B28:B34"/>
    <mergeCell ref="C28:C34"/>
    <mergeCell ref="D28:D34"/>
    <mergeCell ref="E28:E31"/>
    <mergeCell ref="E32:E34"/>
    <mergeCell ref="F28:F31"/>
    <mergeCell ref="G28:G31"/>
    <mergeCell ref="D35:D38"/>
    <mergeCell ref="E35:E36"/>
    <mergeCell ref="D40:D50"/>
    <mergeCell ref="E40:E43"/>
    <mergeCell ref="F40:F43"/>
    <mergeCell ref="G40:G43"/>
    <mergeCell ref="E44:E45"/>
    <mergeCell ref="B62:B65"/>
    <mergeCell ref="C62:C65"/>
    <mergeCell ref="D62:D65"/>
    <mergeCell ref="E62:E63"/>
    <mergeCell ref="E64:E65"/>
    <mergeCell ref="F64:F65"/>
    <mergeCell ref="G64:G65"/>
    <mergeCell ref="D73:D76"/>
    <mergeCell ref="E73:E74"/>
    <mergeCell ref="E75:E76"/>
    <mergeCell ref="F78:F81"/>
    <mergeCell ref="G78:G81"/>
    <mergeCell ref="B66:B72"/>
    <mergeCell ref="C66:C72"/>
    <mergeCell ref="B73:B76"/>
    <mergeCell ref="C73:C76"/>
    <mergeCell ref="B51:B61"/>
    <mergeCell ref="B78:B88"/>
    <mergeCell ref="B100:B103"/>
    <mergeCell ref="C100:C103"/>
    <mergeCell ref="B104:B110"/>
    <mergeCell ref="C104:C110"/>
    <mergeCell ref="B111:B114"/>
    <mergeCell ref="C111:C114"/>
    <mergeCell ref="C116:C126"/>
    <mergeCell ref="C127:C137"/>
    <mergeCell ref="C138:C141"/>
    <mergeCell ref="C142:C148"/>
    <mergeCell ref="C149:C152"/>
    <mergeCell ref="A116:A152"/>
    <mergeCell ref="B116:B126"/>
    <mergeCell ref="B127:B137"/>
    <mergeCell ref="B138:B141"/>
    <mergeCell ref="B142:B148"/>
    <mergeCell ref="B149:B152"/>
    <mergeCell ref="F122:F124"/>
    <mergeCell ref="G122:G124"/>
    <mergeCell ref="F125:F126"/>
    <mergeCell ref="G125:G126"/>
    <mergeCell ref="D127:D137"/>
    <mergeCell ref="E127:E130"/>
    <mergeCell ref="E131:E134"/>
    <mergeCell ref="E135:E137"/>
    <mergeCell ref="D138:D141"/>
    <mergeCell ref="E138:E139"/>
    <mergeCell ref="D142:D148"/>
    <mergeCell ref="D149:D152"/>
    <mergeCell ref="F127:F130"/>
    <mergeCell ref="G127:G130"/>
    <mergeCell ref="F131:F134"/>
    <mergeCell ref="G131:G134"/>
    <mergeCell ref="H133:H134"/>
    <mergeCell ref="I133:I134"/>
    <mergeCell ref="G135:G137"/>
    <mergeCell ref="F138:F139"/>
    <mergeCell ref="F154:F157"/>
    <mergeCell ref="G154:G157"/>
    <mergeCell ref="G265:G266"/>
    <mergeCell ref="G268:G271"/>
    <mergeCell ref="G272:G273"/>
    <mergeCell ref="G274:G276"/>
    <mergeCell ref="G277:G278"/>
    <mergeCell ref="G279:G282"/>
    <mergeCell ref="G283:G286"/>
    <mergeCell ref="G287:G289"/>
    <mergeCell ref="G290:G291"/>
    <mergeCell ref="G292:G293"/>
    <mergeCell ref="G294:G297"/>
    <mergeCell ref="G298:G300"/>
    <mergeCell ref="G301:G302"/>
    <mergeCell ref="G303:G304"/>
    <mergeCell ref="F234:F235"/>
    <mergeCell ref="G234:G235"/>
    <mergeCell ref="F236:F238"/>
    <mergeCell ref="G236:G238"/>
    <mergeCell ref="F239:F240"/>
    <mergeCell ref="G239:G240"/>
    <mergeCell ref="G241:G244"/>
    <mergeCell ref="F241:F244"/>
    <mergeCell ref="F245:F248"/>
    <mergeCell ref="F249:F251"/>
    <mergeCell ref="F252:F253"/>
    <mergeCell ref="F254:F255"/>
    <mergeCell ref="F256:F259"/>
    <mergeCell ref="F260:F262"/>
    <mergeCell ref="G245:G248"/>
    <mergeCell ref="G249:G251"/>
    <mergeCell ref="G252:G253"/>
    <mergeCell ref="G254:G255"/>
    <mergeCell ref="G256:G259"/>
    <mergeCell ref="G260:G262"/>
    <mergeCell ref="G263:G264"/>
    <mergeCell ref="F263:F264"/>
    <mergeCell ref="F265:F266"/>
    <mergeCell ref="F268:F271"/>
    <mergeCell ref="F272:F273"/>
    <mergeCell ref="F274:F276"/>
    <mergeCell ref="F277:F278"/>
    <mergeCell ref="F279:F282"/>
    <mergeCell ref="F283:F286"/>
    <mergeCell ref="F287:F289"/>
    <mergeCell ref="F290:F291"/>
    <mergeCell ref="F292:F293"/>
    <mergeCell ref="F294:F297"/>
    <mergeCell ref="F298:F300"/>
    <mergeCell ref="F301:F302"/>
    <mergeCell ref="F325:F327"/>
    <mergeCell ref="F328:F329"/>
    <mergeCell ref="F330:F331"/>
    <mergeCell ref="F344:F347"/>
    <mergeCell ref="G344:G347"/>
    <mergeCell ref="F303:F304"/>
    <mergeCell ref="F306:F309"/>
    <mergeCell ref="F310:F311"/>
    <mergeCell ref="F312:F314"/>
    <mergeCell ref="F315:F316"/>
    <mergeCell ref="F317:F320"/>
    <mergeCell ref="F321:F324"/>
    <mergeCell ref="F120:F121"/>
    <mergeCell ref="F135:F137"/>
    <mergeCell ref="G138:G139"/>
    <mergeCell ref="E140:E141"/>
    <mergeCell ref="F140:F141"/>
    <mergeCell ref="G140:G141"/>
    <mergeCell ref="E142:E145"/>
    <mergeCell ref="F142:F145"/>
    <mergeCell ref="G142:G145"/>
    <mergeCell ref="E146:E148"/>
    <mergeCell ref="F146:F148"/>
    <mergeCell ref="G146:G148"/>
    <mergeCell ref="E149:E150"/>
    <mergeCell ref="F149:F150"/>
    <mergeCell ref="G149:G150"/>
    <mergeCell ref="E151:E152"/>
    <mergeCell ref="F151:F152"/>
    <mergeCell ref="G151:G152"/>
    <mergeCell ref="G158:G159"/>
    <mergeCell ref="F160:F162"/>
    <mergeCell ref="G160:G162"/>
    <mergeCell ref="F163:F164"/>
    <mergeCell ref="G163:G164"/>
    <mergeCell ref="F165:F168"/>
    <mergeCell ref="G165:G168"/>
    <mergeCell ref="F169:F172"/>
    <mergeCell ref="G169:G172"/>
    <mergeCell ref="H171:H172"/>
    <mergeCell ref="I171:I172"/>
    <mergeCell ref="J171:J172"/>
    <mergeCell ref="F173:F175"/>
    <mergeCell ref="G173:G175"/>
    <mergeCell ref="F176:F177"/>
    <mergeCell ref="G176:G177"/>
    <mergeCell ref="F178:F179"/>
    <mergeCell ref="G178:G179"/>
    <mergeCell ref="F187:F188"/>
    <mergeCell ref="G187:G188"/>
    <mergeCell ref="F189:F190"/>
    <mergeCell ref="G189:G190"/>
    <mergeCell ref="F192:F195"/>
    <mergeCell ref="G192:G195"/>
    <mergeCell ref="F196:F197"/>
    <mergeCell ref="G196:G197"/>
    <mergeCell ref="G198:G200"/>
    <mergeCell ref="K192:K228"/>
    <mergeCell ref="K230:K266"/>
    <mergeCell ref="K268:K304"/>
    <mergeCell ref="K306:K342"/>
    <mergeCell ref="K344:K380"/>
    <mergeCell ref="H178:H179"/>
    <mergeCell ref="I178:I179"/>
    <mergeCell ref="H209:H210"/>
    <mergeCell ref="I209:I210"/>
    <mergeCell ref="J209:J210"/>
    <mergeCell ref="H216:H217"/>
    <mergeCell ref="J218:J219"/>
    <mergeCell ref="H285:H286"/>
    <mergeCell ref="H323:H324"/>
    <mergeCell ref="I323:I324"/>
    <mergeCell ref="J323:J324"/>
    <mergeCell ref="H361:H362"/>
    <mergeCell ref="I361:I362"/>
    <mergeCell ref="J361:J362"/>
    <mergeCell ref="H218:H219"/>
    <mergeCell ref="I218:I219"/>
    <mergeCell ref="H247:H248"/>
    <mergeCell ref="I247:I248"/>
    <mergeCell ref="J247:J248"/>
    <mergeCell ref="I285:I286"/>
    <mergeCell ref="J285:J286"/>
    <mergeCell ref="G222:G224"/>
    <mergeCell ref="G225:G226"/>
    <mergeCell ref="G201:G202"/>
    <mergeCell ref="G203:G206"/>
    <mergeCell ref="G207:G210"/>
    <mergeCell ref="G211:G213"/>
    <mergeCell ref="G214:G215"/>
    <mergeCell ref="G216:G217"/>
    <mergeCell ref="G218:G221"/>
    <mergeCell ref="F116:F119"/>
    <mergeCell ref="F158:F159"/>
    <mergeCell ref="J178:J179"/>
    <mergeCell ref="F180:F183"/>
    <mergeCell ref="G180:G183"/>
    <mergeCell ref="F184:F186"/>
    <mergeCell ref="G184:G186"/>
    <mergeCell ref="E108:E110"/>
    <mergeCell ref="E116:E119"/>
    <mergeCell ref="G116:G119"/>
    <mergeCell ref="K116:K152"/>
    <mergeCell ref="G120:G121"/>
    <mergeCell ref="J133:J134"/>
    <mergeCell ref="K154:K190"/>
    <mergeCell ref="I216:I217"/>
    <mergeCell ref="J216:J217"/>
    <mergeCell ref="F198:F200"/>
    <mergeCell ref="F201:F202"/>
    <mergeCell ref="F203:F206"/>
    <mergeCell ref="F207:F210"/>
    <mergeCell ref="F211:F213"/>
    <mergeCell ref="F214:F215"/>
    <mergeCell ref="F216:F217"/>
    <mergeCell ref="F218:F221"/>
    <mergeCell ref="F222:F224"/>
    <mergeCell ref="F225:F226"/>
    <mergeCell ref="F227:F228"/>
    <mergeCell ref="G227:G228"/>
    <mergeCell ref="F230:F233"/>
    <mergeCell ref="G230:G233"/>
    <mergeCell ref="G306:G309"/>
    <mergeCell ref="G310:G311"/>
    <mergeCell ref="G312:G314"/>
    <mergeCell ref="G315:G316"/>
    <mergeCell ref="G317:G320"/>
    <mergeCell ref="G321:G324"/>
    <mergeCell ref="G325:G327"/>
    <mergeCell ref="G328:G329"/>
    <mergeCell ref="G330:G331"/>
    <mergeCell ref="F332:F335"/>
    <mergeCell ref="G332:G335"/>
    <mergeCell ref="F336:F338"/>
    <mergeCell ref="G336:G338"/>
    <mergeCell ref="G339:G340"/>
    <mergeCell ref="G341:G342"/>
    <mergeCell ref="F339:F340"/>
    <mergeCell ref="F341:F342"/>
    <mergeCell ref="F348:F349"/>
    <mergeCell ref="G348:G349"/>
    <mergeCell ref="F350:F352"/>
    <mergeCell ref="G350:G352"/>
    <mergeCell ref="G353:G354"/>
    <mergeCell ref="F353:F354"/>
    <mergeCell ref="F355:F358"/>
    <mergeCell ref="G355:G358"/>
    <mergeCell ref="F359:F362"/>
    <mergeCell ref="G359:G362"/>
    <mergeCell ref="F363:F365"/>
    <mergeCell ref="G363:G365"/>
    <mergeCell ref="F374:F376"/>
    <mergeCell ref="F377:F378"/>
    <mergeCell ref="F379:F380"/>
    <mergeCell ref="G377:G378"/>
    <mergeCell ref="G379:G380"/>
    <mergeCell ref="F366:F367"/>
    <mergeCell ref="G366:G367"/>
    <mergeCell ref="F368:F369"/>
    <mergeCell ref="G368:G369"/>
    <mergeCell ref="F370:F373"/>
    <mergeCell ref="G370:G373"/>
    <mergeCell ref="G374:G376"/>
  </mergeCells>
  <drawing r:id="rId4"/>
  <legacyDrawing r:id="rId5"/>
</worksheet>
</file>