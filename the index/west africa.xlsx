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metadata.xml" ContentType="application/vnd.openxmlformats-officedocument.spreadsheetml.sheetMetadata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West Africa" sheetId="1" r:id="rId1"/>
    <sheet name="Freedom House" sheetId="2" r:id="rId2"/>
    <sheet name="general results WA" sheetId="3" r:id="rId3"/>
  </sheets>
</workbook>
</file>

<file path=xl/comments1.xml><?xml version="1.0" encoding="utf-8"?>
<comments xmlns="http://schemas.openxmlformats.org/spreadsheetml/2006/main">
  <authors>
    <author>Roser</author>
    <author>tc={54EE7951-7262-4200-6969-000000000000}</author>
  </authors>
  <commentList>
    <comment ref="I560" authorId="1">
      <text>
        <t/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Relationship Id="rId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eetJ5" id="{54EE7950-7262-4200-6969-000000000000}" userId="SheetJ5" providerId="None"/>
  <person displayName="Roser" id="{54EE7950-7262-4200-6969-000000000001}" userId="Roser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>
  <threadedComment ref="I560" id="{54EE7951-7262-4200-6969-000000000000}" personId="{54EE7950-7262-4200-6969-000000000001}">
    <text>review???? 0,5 or 1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microsoft.com/office/2017/10/relationships/threadedComment" Target="../threadedComments/threadedComment1.x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641"/>
  <sheetViews>
    <sheetView workbookViewId="0" rightToLeft="0"/>
  </sheetViews>
  <sheetData>
    <row r="1">
      <c r="A1" t="str">
        <v>State</v>
      </c>
      <c r="B1" t="str">
        <v>Variable</v>
      </c>
      <c r="C1" t="str">
        <v>SCORE VAR</v>
      </c>
      <c r="D1" t="str">
        <v>% VAR</v>
      </c>
      <c r="E1" t="str">
        <v>Dimension</v>
      </c>
      <c r="F1" t="str">
        <v>SCORE DIM</v>
      </c>
      <c r="G1" t="str">
        <v>% DIM</v>
      </c>
      <c r="H1" t="str">
        <v>Indicator</v>
      </c>
      <c r="I1" t="str">
        <v>SCORE IND</v>
      </c>
      <c r="J1" t="str">
        <v>% IND</v>
      </c>
      <c r="K1" t="str">
        <v>TOTAL INDEX</v>
      </c>
    </row>
    <row r="2">
      <c r="A2" t="str">
        <v>Benin</v>
      </c>
      <c r="B2" t="str">
        <v>Institutional Integrity</v>
      </c>
      <c r="C2">
        <f>(G2*F2)+(G6*F6)+(G8*F8)+(G11*F11)</f>
        <v>0.5899365</v>
      </c>
      <c r="D2">
        <v>0.3</v>
      </c>
      <c r="E2" t="str">
        <v>Rule of Law</v>
      </c>
      <c r="F2">
        <f>(J2*I2)+(J3*I3)+(J4*I4)+(J5*I5)</f>
        <v>0.72915</v>
      </c>
      <c r="G2">
        <v>0.3</v>
      </c>
      <c r="H2" t="str">
        <v>Equal protection index</v>
      </c>
      <c r="I2">
        <v>0.76</v>
      </c>
      <c r="J2">
        <v>0.15</v>
      </c>
      <c r="K2">
        <f>(C2*D2)+(C13*D13)+(C24*D24)+(C28*D28)+(C35*D35)</f>
        <v>0.53016845</v>
      </c>
    </row>
    <row r="3">
      <c r="H3" t="str">
        <v>Rule of law index</v>
      </c>
      <c r="I3">
        <v>0.77</v>
      </c>
      <c r="J3">
        <v>0.5</v>
      </c>
      <c r="O3" t="str">
        <v>LIST OF WEST AFRICAN COUNTRIES</v>
      </c>
      <c r="R3" t="str">
        <v>UN GEOSCHEME</v>
      </c>
    </row>
    <row r="4">
      <c r="H4" t="str">
        <v>Civil rights</v>
      </c>
      <c r="I4">
        <f>4.41/10</f>
        <v>0.441</v>
      </c>
      <c r="J4">
        <v>0.15</v>
      </c>
      <c r="O4" t="str">
        <v>Benin</v>
      </c>
      <c r="P4">
        <v>1</v>
      </c>
    </row>
    <row r="5">
      <c r="H5" t="str">
        <v>Access to justice</v>
      </c>
      <c r="I5">
        <v>0.82</v>
      </c>
      <c r="J5">
        <v>0.2</v>
      </c>
      <c r="O5" t="str">
        <v>Burkina Faso</v>
      </c>
      <c r="P5">
        <v>1</v>
      </c>
    </row>
    <row r="6">
      <c r="E6" t="str">
        <v>Separation of powers</v>
      </c>
      <c r="F6">
        <f>(J6*I6)+(I7*J7)</f>
        <v>0.52125</v>
      </c>
      <c r="G6">
        <v>0.25</v>
      </c>
      <c r="H6" t="str">
        <v>Separations of power</v>
      </c>
      <c r="I6">
        <f>6/10</f>
        <v>0.6</v>
      </c>
      <c r="J6">
        <v>0.7</v>
      </c>
      <c r="O6" t="str">
        <v>Cape Verde</v>
      </c>
      <c r="P6">
        <v>1</v>
      </c>
    </row>
    <row r="7">
      <c r="H7" t="str">
        <v>High court independence</v>
      </c>
      <c r="I7">
        <f>1.35/4</f>
        <v>0.3375</v>
      </c>
      <c r="J7">
        <v>0.3</v>
      </c>
      <c r="O7" t="str">
        <v>Côte D'Ivoire</v>
      </c>
      <c r="P7">
        <v>1</v>
      </c>
    </row>
    <row r="8">
      <c r="E8" t="str">
        <v>Accountability</v>
      </c>
      <c r="F8">
        <f>(J8*I8)+(I9*J9)+(I10*J10)</f>
        <v>0.55143</v>
      </c>
      <c r="G8">
        <v>0.3</v>
      </c>
      <c r="H8" t="str">
        <v>Control of corruption</v>
      </c>
      <c r="I8">
        <f>42.98/100</f>
        <v>0.4298</v>
      </c>
      <c r="J8">
        <v>0.35</v>
      </c>
      <c r="O8" t="str">
        <v>Gambia</v>
      </c>
      <c r="P8">
        <v>1</v>
      </c>
    </row>
    <row r="9">
      <c r="H9" t="str">
        <v>Corruption perceptions index (2024)</v>
      </c>
      <c r="I9">
        <f>45/100</f>
        <v>0.45</v>
      </c>
      <c r="J9">
        <v>0.3</v>
      </c>
      <c r="O9" t="str">
        <v>Ghana</v>
      </c>
      <c r="P9">
        <v>1</v>
      </c>
    </row>
    <row r="10">
      <c r="H10" t="str">
        <v>Diagonal accountability index</v>
      </c>
      <c r="I10">
        <v>0.76</v>
      </c>
      <c r="J10">
        <v>0.35</v>
      </c>
      <c r="O10" t="str">
        <v>Guinea</v>
      </c>
      <c r="P10">
        <v>1</v>
      </c>
    </row>
    <row r="11">
      <c r="E11" t="str">
        <v>Transparency</v>
      </c>
      <c r="F11">
        <f>(J11*I11)+(I12*J12)</f>
        <v>0.503</v>
      </c>
      <c r="G11">
        <v>0.15</v>
      </c>
      <c r="H11" t="str">
        <v>Open government index</v>
      </c>
      <c r="I11">
        <v>0.38</v>
      </c>
      <c r="J11">
        <v>0.6</v>
      </c>
      <c r="O11" t="str">
        <v>Guinea-Bissau</v>
      </c>
      <c r="P11">
        <v>1</v>
      </c>
    </row>
    <row r="12">
      <c r="H12" t="str">
        <v>Government censorship effort</v>
      </c>
      <c r="I12">
        <f>2.75/4</f>
        <v>0.6875</v>
      </c>
      <c r="J12">
        <v>0.4</v>
      </c>
      <c r="O12" t="str">
        <v>Liberia</v>
      </c>
      <c r="P12">
        <v>1</v>
      </c>
    </row>
    <row r="13">
      <c r="B13" t="str">
        <v>Socio-economic development</v>
      </c>
      <c r="C13">
        <f>(G13*F13)+(F17*G17)+(F21*G21)</f>
        <v>0.5599</v>
      </c>
      <c r="D13">
        <v>0.2</v>
      </c>
      <c r="E13" t="str">
        <v>Welfare Frameworks</v>
      </c>
      <c r="F13">
        <f>(J13*I13)+(J14*I14)+(J15*I15)+(J16*I16)</f>
        <v>0.508</v>
      </c>
      <c r="G13">
        <v>0.35</v>
      </c>
      <c r="H13" t="str">
        <v>Social safety nets</v>
      </c>
      <c r="I13">
        <f>4/10</f>
        <v>0.4</v>
      </c>
      <c r="J13">
        <v>0.3</v>
      </c>
      <c r="O13" t="str">
        <v>Mali</v>
      </c>
      <c r="P13">
        <v>1</v>
      </c>
    </row>
    <row r="14">
      <c r="H14" t="str">
        <v>Educational equality</v>
      </c>
      <c r="I14">
        <f>3.54/4</f>
        <v>0.885</v>
      </c>
      <c r="J14">
        <v>0.2</v>
      </c>
      <c r="O14" t="str">
        <v>Mauritania</v>
      </c>
      <c r="P14">
        <v>1</v>
      </c>
    </row>
    <row r="15">
      <c r="H15" t="str">
        <v>Health equality</v>
      </c>
      <c r="I15">
        <f>2/4</f>
        <v>0.5</v>
      </c>
      <c r="J15">
        <v>0.2</v>
      </c>
      <c r="O15" t="str">
        <v>Niger</v>
      </c>
      <c r="P15">
        <v>1</v>
      </c>
    </row>
    <row r="16">
      <c r="H16" t="str">
        <v>Access to public services by socio-economic position (2023)</v>
      </c>
      <c r="I16">
        <f>1.48/4</f>
        <v>0.37</v>
      </c>
      <c r="J16">
        <v>0.3</v>
      </c>
      <c r="O16" t="str">
        <v>Nigeria</v>
      </c>
      <c r="P16">
        <v>1</v>
      </c>
    </row>
    <row r="17">
      <c r="E17" t="str">
        <v>Living Standards</v>
      </c>
      <c r="F17">
        <f>(J17*I17)+(J18*I18)+(J19*I19)</f>
        <v>0.5765</v>
      </c>
      <c r="G17">
        <v>0.4</v>
      </c>
      <c r="H17" t="str">
        <v>HDI</v>
      </c>
      <c r="I17">
        <v>0.515</v>
      </c>
      <c r="J17">
        <v>0.5</v>
      </c>
      <c r="O17" t="str">
        <v>Senegal</v>
      </c>
      <c r="P17">
        <v>1</v>
      </c>
    </row>
    <row r="18">
      <c r="H18" t="str">
        <v>Infant mortality rate (inverted)</v>
      </c>
      <c r="I18">
        <v>0.55</v>
      </c>
      <c r="J18">
        <v>0.3</v>
      </c>
      <c r="O18" t="str">
        <v>Sierra Leone</v>
      </c>
      <c r="P18">
        <v>1</v>
      </c>
    </row>
    <row r="19">
      <c r="H19" t="str">
        <v>Freedom of academic &amp; cultural expression</v>
      </c>
      <c r="I19">
        <f>3.08/4</f>
        <v>0.77</v>
      </c>
      <c r="J19">
        <v>0.2</v>
      </c>
      <c r="O19" t="str">
        <v>Togo</v>
      </c>
      <c r="P19">
        <v>1</v>
      </c>
    </row>
    <row r="20">
      <c r="P20">
        <f>SUM(P4:P19)</f>
        <v>16</v>
      </c>
      <c r="Q20" t="str">
        <v>TOTAL COUNTRIES</v>
      </c>
    </row>
    <row r="21">
      <c r="E21" t="str">
        <v>Distribution of Resources</v>
      </c>
      <c r="F21">
        <f>(J21*I21)+(I22*J22)+(I23*J23)</f>
        <v>0.606</v>
      </c>
      <c r="G21">
        <v>0.25</v>
      </c>
      <c r="H21" t="str">
        <v>Gini Coefficient (inverted) (2021)</v>
      </c>
      <c r="I21">
        <f>(100-34.4)/100</f>
        <v>0.656</v>
      </c>
      <c r="J21">
        <v>0.25</v>
      </c>
    </row>
    <row r="22">
      <c r="H22" t="str">
        <v>Power distributed by socioeconomic position</v>
      </c>
      <c r="I22">
        <f>2.26/4</f>
        <v>0.565</v>
      </c>
      <c r="J22">
        <v>0.5</v>
      </c>
    </row>
    <row r="23">
      <c r="H23" t="str">
        <v>Poverty headcount ratio (inverted) (2021)</v>
      </c>
      <c r="I23">
        <f>(100-36.2)/100</f>
        <v>0.638</v>
      </c>
      <c r="J23">
        <v>0.25</v>
      </c>
    </row>
    <row r="24">
      <c r="B24" t="str">
        <v>Responsiveness</v>
      </c>
      <c r="C24">
        <f>(G24*F24)+(F26*G26)</f>
        <v>0.4727</v>
      </c>
      <c r="D24">
        <v>0.2</v>
      </c>
      <c r="E24" t="str">
        <v>Discourse</v>
      </c>
      <c r="F24">
        <f>(J24*I24)+(I25*J25)</f>
        <v>0.586</v>
      </c>
      <c r="G24">
        <v>0.45</v>
      </c>
      <c r="H24" t="str">
        <v>Deliberative component index</v>
      </c>
      <c r="I24">
        <v>0.53</v>
      </c>
      <c r="J24">
        <v>0.6</v>
      </c>
    </row>
    <row r="25">
      <c r="H25" t="str">
        <v>Reasoned justification</v>
      </c>
      <c r="I25">
        <f>2.01/3</f>
        <v>0.67</v>
      </c>
      <c r="J25">
        <v>0.4</v>
      </c>
    </row>
    <row r="26">
      <c r="E26" t="str">
        <v>Policies and legitimacy</v>
      </c>
      <c r="F26">
        <f>(J26*I26)+(I27*J27)</f>
        <v>0.38</v>
      </c>
      <c r="G26">
        <v>0.55</v>
      </c>
      <c r="H26" t="str">
        <v>Steering Capability</v>
      </c>
      <c r="I26">
        <f>((7+6+6)/3)/10</f>
        <v>0.6333333333</v>
      </c>
      <c r="J26">
        <v>0.6</v>
      </c>
    </row>
    <row r="27">
      <c r="H27" t="str">
        <v>Approval of democracy (n/a)</v>
      </c>
      <c r="J27">
        <v>0.4</v>
      </c>
    </row>
    <row r="28">
      <c r="B28" t="str">
        <v>Electoral Integrity</v>
      </c>
      <c r="C28">
        <f>(F28*G28)+(F32*G32)</f>
        <v>0.7197375</v>
      </c>
      <c r="D28">
        <v>0.2</v>
      </c>
      <c r="E28" t="str">
        <v>Free and fair elections</v>
      </c>
      <c r="F28">
        <f>(J28*I28)+(J29*I29)+(J30*I30)+(J31*I31)</f>
        <v>0.63975</v>
      </c>
      <c r="G28">
        <v>0.55</v>
      </c>
      <c r="H28" t="str">
        <v>Clean elections index</v>
      </c>
      <c r="I28">
        <v>0.64</v>
      </c>
      <c r="J28">
        <v>0.35</v>
      </c>
    </row>
    <row r="29">
      <c r="H29" t="str">
        <v>Election free and fair</v>
      </c>
      <c r="I29">
        <f>1.91/4</f>
        <v>0.4775</v>
      </c>
      <c r="J29">
        <v>0.35</v>
      </c>
    </row>
    <row r="30">
      <c r="H30" t="str">
        <v>Opposition parties autonomy</v>
      </c>
      <c r="I30">
        <f>2.63/4</f>
        <v>0.6575</v>
      </c>
      <c r="J30">
        <v>0.15</v>
      </c>
    </row>
    <row r="31">
      <c r="H31" t="str">
        <v>Share of population with suffrage</v>
      </c>
      <c r="I31">
        <v>1</v>
      </c>
      <c r="J31">
        <v>0.15</v>
      </c>
    </row>
    <row r="32">
      <c r="E32" t="str">
        <v>Peaceful transition of power</v>
      </c>
      <c r="F32">
        <f>(J32*I32)+(I33*J33)+(I34*J34)</f>
        <v>0.8175</v>
      </c>
      <c r="G32">
        <v>0.45</v>
      </c>
      <c r="H32" t="str">
        <v>Election other electoral violence</v>
      </c>
      <c r="I32">
        <f>2.77/4</f>
        <v>0.6925</v>
      </c>
      <c r="J32">
        <v>0.3</v>
      </c>
    </row>
    <row r="33">
      <c r="H33" t="str">
        <v>Election losers accept results</v>
      </c>
      <c r="I33">
        <f>3.73/4</f>
        <v>0.9325</v>
      </c>
      <c r="J33">
        <v>0.3</v>
      </c>
    </row>
    <row r="34">
      <c r="H34" t="str">
        <v>Election government intimidation</v>
      </c>
      <c r="I34">
        <f>3.3/4</f>
        <v>0.825</v>
      </c>
      <c r="J34">
        <v>0.4</v>
      </c>
    </row>
    <row r="35">
      <c r="B35" t="str">
        <v>Democratic memory</v>
      </c>
      <c r="C35">
        <f>(F35*G35)+(F37*G37)</f>
        <v>0.0272</v>
      </c>
      <c r="D35">
        <v>0.1</v>
      </c>
      <c r="E35" t="str">
        <v>Reparations</v>
      </c>
      <c r="F35">
        <f>(J35*I35)+(I36*J36)</f>
        <v>0</v>
      </c>
      <c r="G35">
        <v>0.6</v>
      </c>
      <c r="H35" t="str">
        <v>Truth commission</v>
      </c>
      <c r="I35">
        <v>0</v>
      </c>
      <c r="J35">
        <v>0.5</v>
      </c>
    </row>
    <row r="36">
      <c r="H36" t="str">
        <v>Reparatory policies</v>
      </c>
      <c r="I36">
        <v>0</v>
      </c>
      <c r="J36">
        <v>0.5</v>
      </c>
    </row>
    <row r="37">
      <c r="E37" t="str">
        <v>Legal</v>
      </c>
      <c r="F37">
        <f>(J37*I37)+(I38*J38)</f>
        <v>0.068</v>
      </c>
      <c r="G37">
        <v>0.4</v>
      </c>
      <c r="H37" t="str">
        <v>Amnesty law</v>
      </c>
      <c r="I37">
        <v>0</v>
      </c>
      <c r="J37">
        <v>0.6</v>
      </c>
    </row>
    <row r="38">
      <c r="H38" t="str">
        <v>Domestic trials</v>
      </c>
      <c r="I38">
        <v>0.17</v>
      </c>
      <c r="J38">
        <v>0.4</v>
      </c>
    </row>
    <row r="41">
      <c r="A41" t="str">
        <v>State</v>
      </c>
      <c r="B41" t="str">
        <v>Variable</v>
      </c>
      <c r="C41" t="str">
        <v>SCORE VAR</v>
      </c>
      <c r="D41" t="str">
        <v>% VAR</v>
      </c>
      <c r="E41" t="str">
        <v>Dimension</v>
      </c>
      <c r="F41" t="str">
        <v>SCORE DIM</v>
      </c>
      <c r="G41" t="str">
        <v>% DIM</v>
      </c>
      <c r="H41" t="str">
        <v>Indicator</v>
      </c>
      <c r="I41" t="str">
        <v>SCORE IND</v>
      </c>
      <c r="J41" t="str">
        <v>% IND</v>
      </c>
      <c r="K41" t="str">
        <v>TOTAL INDEX</v>
      </c>
    </row>
    <row r="42">
      <c r="A42" t="str">
        <v>Burkina Faso</v>
      </c>
      <c r="B42" t="str">
        <v>Institutional Integrity</v>
      </c>
      <c r="C42">
        <f>(G42*F42)+(G46*F46)+(G48*F48)+(G51*F51)</f>
        <v>0.3689245</v>
      </c>
      <c r="D42">
        <v>0.3</v>
      </c>
      <c r="E42" t="str">
        <v>Rule of Law</v>
      </c>
      <c r="F42">
        <f>(J42*I42)+(J43*I43)+(J44*I44)+(J45*I45)</f>
        <v>0.51045</v>
      </c>
      <c r="G42">
        <v>0.3</v>
      </c>
      <c r="H42" t="str">
        <v>Equal protection index</v>
      </c>
      <c r="I42">
        <v>0.69</v>
      </c>
      <c r="J42">
        <v>0.15</v>
      </c>
      <c r="K42">
        <f>(C42*D42)+(C53*D53)+(C64*D64)+(C68*D68)+(C75*D75)</f>
        <v>0.4459861</v>
      </c>
    </row>
    <row r="43">
      <c r="H43" t="str">
        <v>Rule of law index</v>
      </c>
      <c r="I43">
        <v>0.48</v>
      </c>
      <c r="J43">
        <v>0.5</v>
      </c>
    </row>
    <row r="44">
      <c r="H44" t="str">
        <v>Civil rights</v>
      </c>
      <c r="I44">
        <f>3.53/10</f>
        <v>0.353</v>
      </c>
      <c r="J44">
        <v>0.15</v>
      </c>
    </row>
    <row r="45">
      <c r="H45" t="str">
        <v>Access to justice</v>
      </c>
      <c r="I45">
        <v>0.57</v>
      </c>
      <c r="J45">
        <v>0.2</v>
      </c>
    </row>
    <row r="46">
      <c r="E46" t="str">
        <v>Separation of powers</v>
      </c>
      <c r="F46">
        <f>(J46*I46)+(I47*J47)</f>
        <v>0.18325</v>
      </c>
      <c r="G46">
        <v>0.25</v>
      </c>
      <c r="H46" t="str">
        <v>Separations of power</v>
      </c>
      <c r="I46">
        <f>1/10</f>
        <v>0.1</v>
      </c>
      <c r="J46">
        <v>0.7</v>
      </c>
    </row>
    <row r="47">
      <c r="H47" t="str">
        <v>High court independence</v>
      </c>
      <c r="I47">
        <f>1.51/4</f>
        <v>0.3775</v>
      </c>
      <c r="J47">
        <v>0.3</v>
      </c>
    </row>
    <row r="48">
      <c r="E48" t="str">
        <v>Accountability</v>
      </c>
      <c r="F48">
        <f>(J48*I48)+(I49*J49)+(I50*J50)</f>
        <v>0.36709</v>
      </c>
      <c r="G48">
        <v>0.3</v>
      </c>
      <c r="H48" t="str">
        <v>Control of corruption</v>
      </c>
      <c r="I48">
        <f>42.74/100</f>
        <v>0.4274</v>
      </c>
      <c r="J48">
        <v>0.35</v>
      </c>
    </row>
    <row r="49">
      <c r="H49" t="str">
        <v>Corruption perceptions index (2024)</v>
      </c>
      <c r="I49">
        <f>41/100</f>
        <v>0.41</v>
      </c>
      <c r="J49">
        <v>0.3</v>
      </c>
    </row>
    <row r="50">
      <c r="H50" t="str">
        <v>Diagonal accountability index</v>
      </c>
      <c r="I50">
        <v>0.27</v>
      </c>
      <c r="J50">
        <v>0.35</v>
      </c>
    </row>
    <row r="51">
      <c r="E51" t="str">
        <v>Transparency</v>
      </c>
      <c r="F51">
        <f>(J51*I51)+(I52*J52)</f>
        <v>0.399</v>
      </c>
      <c r="G51">
        <v>0.15</v>
      </c>
      <c r="H51" t="str">
        <v>Open government index</v>
      </c>
      <c r="I51">
        <v>0.44</v>
      </c>
      <c r="J51">
        <v>0.6</v>
      </c>
    </row>
    <row r="52">
      <c r="H52" t="str">
        <v>Government censorship effort</v>
      </c>
      <c r="I52">
        <f>1.35/4</f>
        <v>0.3375</v>
      </c>
      <c r="J52">
        <v>0.4</v>
      </c>
    </row>
    <row r="53">
      <c r="B53" t="str">
        <v>Socio-economic development</v>
      </c>
      <c r="C53">
        <f>(G53*F53)+(F57*G57)+(F61*G61)</f>
        <v>0.4881</v>
      </c>
      <c r="D53">
        <v>0.2</v>
      </c>
      <c r="E53" t="str">
        <v>Welfare Frameworks</v>
      </c>
      <c r="F53">
        <f>(J53*I53)+(J54*I54)+(J55*I55)+(J56*I56)</f>
        <v>0.2865</v>
      </c>
      <c r="G53">
        <v>0.35</v>
      </c>
      <c r="H53" t="str">
        <v>Social safety nets</v>
      </c>
      <c r="I53">
        <f>3/10</f>
        <v>0.3</v>
      </c>
      <c r="J53">
        <v>0.3</v>
      </c>
    </row>
    <row r="54">
      <c r="H54" t="str">
        <v>Educational equality</v>
      </c>
      <c r="I54">
        <f>0.94/4</f>
        <v>0.235</v>
      </c>
      <c r="J54">
        <v>0.2</v>
      </c>
    </row>
    <row r="55">
      <c r="H55" t="str">
        <v>Health equality</v>
      </c>
      <c r="I55">
        <f>0.95/4</f>
        <v>0.2375</v>
      </c>
      <c r="J55">
        <v>0.2</v>
      </c>
    </row>
    <row r="56">
      <c r="H56" t="str">
        <v>Access to public services by socio-economic position (2023)</v>
      </c>
      <c r="I56">
        <f>1.36/4</f>
        <v>0.34</v>
      </c>
      <c r="J56">
        <v>0.3</v>
      </c>
    </row>
    <row r="57">
      <c r="E57" t="str">
        <v>Living Standards</v>
      </c>
      <c r="F57">
        <f>(J57*I57)+(J58*I58)+(J59*I59)</f>
        <v>0.5705</v>
      </c>
      <c r="G57">
        <v>0.4</v>
      </c>
      <c r="H57" t="str">
        <v>HDI</v>
      </c>
      <c r="I57">
        <v>0.459</v>
      </c>
      <c r="J57">
        <v>0.5</v>
      </c>
    </row>
    <row r="58">
      <c r="H58" t="str">
        <v>Infant mortality rate (inverted)</v>
      </c>
      <c r="I58">
        <v>0.56</v>
      </c>
      <c r="J58">
        <v>0.3</v>
      </c>
    </row>
    <row r="59">
      <c r="H59" t="str">
        <v>Freedom of academic &amp; cultural expression</v>
      </c>
      <c r="I59">
        <f>3.46/4</f>
        <v>0.865</v>
      </c>
      <c r="J59">
        <v>0.2</v>
      </c>
    </row>
    <row r="61">
      <c r="E61" t="str">
        <v>Distribution of Resources</v>
      </c>
      <c r="F61">
        <f>(J61*I61)+(I62*J62)+(I63*J63)</f>
        <v>0.6385</v>
      </c>
      <c r="G61">
        <v>0.25</v>
      </c>
      <c r="H61" t="str">
        <v>Gini Coefficient (inverted) (2021)</v>
      </c>
      <c r="I61">
        <f>(100-37.4)/100</f>
        <v>0.626</v>
      </c>
      <c r="J61">
        <v>0.25</v>
      </c>
    </row>
    <row r="62">
      <c r="H62" t="str">
        <v>Power distributed by socioeconomic position</v>
      </c>
      <c r="I62">
        <f>2.72/4</f>
        <v>0.68</v>
      </c>
      <c r="J62">
        <v>0.5</v>
      </c>
    </row>
    <row r="63">
      <c r="H63" t="str">
        <v>Poverty headcount ratio (inverted) (2021)</v>
      </c>
      <c r="I63">
        <f>(100-43.2)/100</f>
        <v>0.568</v>
      </c>
      <c r="J63">
        <v>0.25</v>
      </c>
    </row>
    <row r="64">
      <c r="B64" t="str">
        <v>Responsiveness</v>
      </c>
      <c r="C64">
        <f>(G64*F64)+(F66*G66)</f>
        <v>0.2522</v>
      </c>
      <c r="D64">
        <v>0.2</v>
      </c>
      <c r="E64" t="str">
        <v>Discourse</v>
      </c>
      <c r="F64">
        <f>(J64*I64)+(I65*J65)</f>
        <v>0.2426666667</v>
      </c>
      <c r="G64">
        <v>0.45</v>
      </c>
      <c r="H64" t="str">
        <v>Deliberative component index</v>
      </c>
      <c r="I64">
        <v>0.14</v>
      </c>
      <c r="J64">
        <v>0.6</v>
      </c>
    </row>
    <row r="65">
      <c r="H65" t="str">
        <v>Reasoned justification</v>
      </c>
      <c r="I65">
        <f>1.19/3</f>
        <v>0.3966666667</v>
      </c>
      <c r="J65">
        <v>0.4</v>
      </c>
    </row>
    <row r="66">
      <c r="E66" t="str">
        <v>Policies and legitimacy</v>
      </c>
      <c r="F66">
        <f>(J66*I66)+(I67*J67)</f>
        <v>0.26</v>
      </c>
      <c r="G66">
        <v>0.55</v>
      </c>
      <c r="H66" t="str">
        <v>Steering Capability</v>
      </c>
      <c r="I66">
        <f>((3+5+5)/3)/10</f>
        <v>0.4333333333</v>
      </c>
      <c r="J66">
        <v>0.6</v>
      </c>
    </row>
    <row r="67">
      <c r="H67" t="str">
        <v>Approval of democracy (n/a)</v>
      </c>
      <c r="J67">
        <v>0.4</v>
      </c>
    </row>
    <row r="68">
      <c r="B68" t="str">
        <v>Electoral Integrity</v>
      </c>
      <c r="C68">
        <f>(F68*G68)+(F72*G72)</f>
        <v>0.70704375</v>
      </c>
      <c r="D68">
        <v>0.2</v>
      </c>
      <c r="E68" t="str">
        <v>Free and fair elections</v>
      </c>
      <c r="F68">
        <f>(J68*I68)+(J69*I69)+(J70*I70)+(J71*I71)</f>
        <v>0.544875</v>
      </c>
      <c r="G68">
        <v>0.55</v>
      </c>
      <c r="H68" t="str">
        <v>Clean elections index</v>
      </c>
      <c r="I68">
        <v>0</v>
      </c>
      <c r="J68">
        <v>0.35</v>
      </c>
    </row>
    <row r="69">
      <c r="H69" t="str">
        <v xml:space="preserve">Election free and fair (2022) </v>
      </c>
      <c r="I69">
        <f>3.18/4</f>
        <v>0.795</v>
      </c>
      <c r="J69">
        <v>0.35</v>
      </c>
    </row>
    <row r="70">
      <c r="H70" t="str">
        <v>Opposition parties autonomy</v>
      </c>
      <c r="I70">
        <f>3.11/4</f>
        <v>0.7775</v>
      </c>
      <c r="J70">
        <v>0.15</v>
      </c>
    </row>
    <row r="71">
      <c r="H71" t="str">
        <v>Share of population with suffrage</v>
      </c>
      <c r="I71">
        <v>1</v>
      </c>
      <c r="J71">
        <v>0.15</v>
      </c>
    </row>
    <row r="72">
      <c r="E72" t="str">
        <v>Peaceful transition of power</v>
      </c>
      <c r="F72">
        <f>(J72*I72)+(I73*J73)+(I74*J74)</f>
        <v>0.90525</v>
      </c>
      <c r="G72">
        <v>0.45</v>
      </c>
      <c r="H72" t="str">
        <v>Election other electoral violence (2022)</v>
      </c>
      <c r="I72">
        <f>3.46/4</f>
        <v>0.865</v>
      </c>
      <c r="J72">
        <v>0.3</v>
      </c>
    </row>
    <row r="73">
      <c r="H73" t="str">
        <v>Election losers accept results (2022)</v>
      </c>
      <c r="I73">
        <f>3.69/4</f>
        <v>0.9225</v>
      </c>
      <c r="J73">
        <v>0.3</v>
      </c>
    </row>
    <row r="74">
      <c r="H74" t="str">
        <v xml:space="preserve">Election government intimidation (2022) </v>
      </c>
      <c r="I74">
        <f>3.69/4</f>
        <v>0.9225</v>
      </c>
      <c r="J74">
        <v>0.4</v>
      </c>
    </row>
    <row r="75">
      <c r="B75" t="str">
        <v>Democratic memory</v>
      </c>
      <c r="C75">
        <f>(F75*G75)+(F77*G77)</f>
        <v>0.4584</v>
      </c>
      <c r="D75">
        <v>0.1</v>
      </c>
      <c r="E75" t="str">
        <v>Reparations</v>
      </c>
      <c r="F75">
        <f>(J75*I75)+(I76*J76)</f>
        <v>0.5</v>
      </c>
      <c r="G75">
        <v>0.6</v>
      </c>
      <c r="H75" t="str">
        <v>Truth commission</v>
      </c>
      <c r="I75">
        <v>1</v>
      </c>
      <c r="J75">
        <v>0.5</v>
      </c>
    </row>
    <row r="76">
      <c r="H76" t="str">
        <v>Reparatory policies</v>
      </c>
      <c r="I76">
        <v>0</v>
      </c>
      <c r="J76">
        <v>0.5</v>
      </c>
    </row>
    <row r="77">
      <c r="E77" t="str">
        <v>Legal</v>
      </c>
      <c r="F77">
        <f>(J77*I77)+(I78*J78)</f>
        <v>0.396</v>
      </c>
      <c r="G77">
        <v>0.4</v>
      </c>
      <c r="H77" t="str">
        <v>Amnesty law</v>
      </c>
      <c r="I77">
        <v>0.5</v>
      </c>
      <c r="J77">
        <v>0.6</v>
      </c>
    </row>
    <row r="78">
      <c r="H78" t="str">
        <v>Domestic trials</v>
      </c>
      <c r="I78">
        <v>0.24</v>
      </c>
      <c r="J78">
        <v>0.4</v>
      </c>
    </row>
    <row r="81">
      <c r="A81" t="str">
        <v>State</v>
      </c>
      <c r="B81" t="str">
        <v>Variable</v>
      </c>
      <c r="C81" t="str">
        <v>SCORE VAR</v>
      </c>
      <c r="D81" t="str">
        <v>% VAR</v>
      </c>
      <c r="E81" t="str">
        <v>Dimension</v>
      </c>
      <c r="F81" t="str">
        <v>SCORE DIM</v>
      </c>
      <c r="G81" t="str">
        <v>% DIM</v>
      </c>
      <c r="H81" t="str">
        <v>Indicator</v>
      </c>
      <c r="I81" t="str">
        <v>SCORE IND</v>
      </c>
      <c r="J81" t="str">
        <v>% IND</v>
      </c>
      <c r="K81" t="str">
        <v>TOTAL INDEX</v>
      </c>
    </row>
    <row r="82">
      <c r="A82" t="str">
        <v>Cape Verde</v>
      </c>
      <c r="B82" t="str">
        <v>Institutional Integrity</v>
      </c>
      <c r="C82">
        <f>(G82*F82)+(G86*F86)+(G88*F88)+(G91*F91)</f>
        <v>0.5567175</v>
      </c>
      <c r="D82">
        <v>0.3</v>
      </c>
      <c r="E82" t="str">
        <v>Rule of Law</v>
      </c>
      <c r="F82">
        <f>(J82*I82)+(J83*I83)+(J84*I84)+(J85*I85)</f>
        <v>0.80095</v>
      </c>
      <c r="G82">
        <v>0.3</v>
      </c>
      <c r="H82" t="str">
        <v>Equal protection index</v>
      </c>
      <c r="I82">
        <v>0.82</v>
      </c>
      <c r="J82">
        <v>0.15</v>
      </c>
      <c r="K82">
        <f>(C82*D82)+(C93*D93)+(C104*D104)+(C108*D108)+(C115*D115)</f>
        <v>0.53565525</v>
      </c>
    </row>
    <row r="83">
      <c r="H83" t="str">
        <v>Rule of law index</v>
      </c>
      <c r="I83">
        <v>0.8</v>
      </c>
      <c r="J83">
        <v>0.5</v>
      </c>
    </row>
    <row r="84">
      <c r="H84" t="str">
        <v>Civil rights</v>
      </c>
      <c r="I84">
        <f>8.53/10</f>
        <v>0.853</v>
      </c>
      <c r="J84">
        <v>0.15</v>
      </c>
    </row>
    <row r="85">
      <c r="H85" t="str">
        <v>Access to justice</v>
      </c>
      <c r="I85">
        <v>0.75</v>
      </c>
      <c r="J85">
        <v>0.2</v>
      </c>
    </row>
    <row r="86">
      <c r="E86" t="str">
        <v>Separation of powers</v>
      </c>
      <c r="F86">
        <f>(J86*I86)+(I87*J87)</f>
        <v>0.21075</v>
      </c>
      <c r="G86">
        <v>0.25</v>
      </c>
      <c r="H86" t="str">
        <v>Separations of power</v>
      </c>
      <c r="J86">
        <v>0.7</v>
      </c>
    </row>
    <row r="87">
      <c r="H87" t="str">
        <v>High court independence</v>
      </c>
      <c r="I87">
        <f>2.81/4</f>
        <v>0.7025</v>
      </c>
      <c r="J87">
        <v>0.3</v>
      </c>
    </row>
    <row r="88">
      <c r="E88" t="str">
        <v>Accountability</v>
      </c>
      <c r="F88">
        <f>(J88*I88)+(I89*J89)+(I90*J90)</f>
        <v>0.72465</v>
      </c>
      <c r="G88">
        <v>0.3</v>
      </c>
      <c r="H88" t="str">
        <v>Control of corruption</v>
      </c>
      <c r="I88">
        <f>66.9/100</f>
        <v>0.669</v>
      </c>
      <c r="J88">
        <v>0.35</v>
      </c>
    </row>
    <row r="89">
      <c r="H89" t="str">
        <v>Corruption perceptions index (2024)</v>
      </c>
      <c r="I89">
        <f>62/100</f>
        <v>0.62</v>
      </c>
      <c r="J89">
        <v>0.3</v>
      </c>
    </row>
    <row r="90">
      <c r="H90" t="str">
        <v>Diagonal accountability index</v>
      </c>
      <c r="I90">
        <v>0.87</v>
      </c>
      <c r="J90">
        <v>0.35</v>
      </c>
    </row>
    <row r="91">
      <c r="E91" t="str">
        <v>Transparency</v>
      </c>
      <c r="F91">
        <f>(J91*I91)+(I92*J92)</f>
        <v>0.309</v>
      </c>
      <c r="G91">
        <v>0.15</v>
      </c>
      <c r="H91" t="str">
        <v>Open government index</v>
      </c>
      <c r="J91">
        <v>0.6</v>
      </c>
    </row>
    <row r="92">
      <c r="H92" t="str">
        <v>Government censorship effort</v>
      </c>
      <c r="I92">
        <f>3.09/4</f>
        <v>0.7725</v>
      </c>
      <c r="J92">
        <v>0.4</v>
      </c>
    </row>
    <row r="93">
      <c r="B93" t="str">
        <v>Socio-economic development</v>
      </c>
      <c r="C93">
        <f>(G93*F93)+(F97*G97)+(F101*G101)</f>
        <v>0.5587</v>
      </c>
      <c r="D93">
        <v>0.2</v>
      </c>
      <c r="E93" t="str">
        <v>Welfare Frameworks</v>
      </c>
      <c r="F93">
        <f>(J93*I93)+(J94*I94)+(J95*I95)+(J96*I96)</f>
        <v>0.27325</v>
      </c>
      <c r="G93">
        <v>0.35</v>
      </c>
      <c r="H93" t="str">
        <v>Social safety nets</v>
      </c>
      <c r="J93">
        <v>0.3</v>
      </c>
    </row>
    <row r="94">
      <c r="H94" t="str">
        <v>Educational equality</v>
      </c>
      <c r="I94">
        <f>1.91/4</f>
        <v>0.4775</v>
      </c>
      <c r="J94">
        <v>0.2</v>
      </c>
    </row>
    <row r="95">
      <c r="H95" t="str">
        <v>Health equality</v>
      </c>
      <c r="I95">
        <f>2.07/4</f>
        <v>0.5175</v>
      </c>
      <c r="J95">
        <v>0.2</v>
      </c>
    </row>
    <row r="96">
      <c r="H96" t="str">
        <v>Access to public services by socio-economic position (2023)</v>
      </c>
      <c r="I96">
        <f>0.99/4</f>
        <v>0.2475</v>
      </c>
      <c r="J96">
        <v>0.3</v>
      </c>
    </row>
    <row r="97">
      <c r="E97" t="str">
        <v>Living Standards</v>
      </c>
      <c r="F97">
        <f>(J97*I97)+(J98*I98)+(J99*I99)</f>
        <v>0.765</v>
      </c>
      <c r="G97">
        <v>0.4</v>
      </c>
      <c r="H97" t="str">
        <v>HDI</v>
      </c>
      <c r="I97">
        <v>0.668</v>
      </c>
      <c r="J97">
        <v>0.5</v>
      </c>
    </row>
    <row r="98">
      <c r="H98" t="str">
        <v>Infant mortality rate (inverted)</v>
      </c>
      <c r="I98">
        <v>0.89</v>
      </c>
      <c r="J98">
        <v>0.3</v>
      </c>
    </row>
    <row r="99">
      <c r="H99" t="str">
        <v>Freedom of academic &amp; cultural expression</v>
      </c>
      <c r="I99">
        <f>3.28/4</f>
        <v>0.82</v>
      </c>
      <c r="J99">
        <v>0.2</v>
      </c>
    </row>
    <row r="101">
      <c r="E101" t="str">
        <v>Distribution of Resources</v>
      </c>
      <c r="F101">
        <f>(J101*I101)+(I102*J102)+(I103*J103)</f>
        <v>0.62825</v>
      </c>
      <c r="G101">
        <v>0.25</v>
      </c>
      <c r="H101" t="str">
        <v>Gini Coefficient (inverted) (2015)</v>
      </c>
      <c r="I101">
        <f>(100-42.4)/100</f>
        <v>0.576</v>
      </c>
      <c r="J101">
        <v>0.25</v>
      </c>
    </row>
    <row r="102">
      <c r="H102" t="str">
        <v>Power distributed by socioeconomic position</v>
      </c>
      <c r="I102">
        <f>2.37/4</f>
        <v>0.5925</v>
      </c>
      <c r="J102">
        <v>0.5</v>
      </c>
    </row>
    <row r="103">
      <c r="H103" t="str">
        <v>Poverty headcount ratio (inverted) (2023)</v>
      </c>
      <c r="I103">
        <f>(100-24.8)/100</f>
        <v>0.752</v>
      </c>
      <c r="J103">
        <v>0.25</v>
      </c>
    </row>
    <row r="104">
      <c r="B104" t="str">
        <v>Responsiveness</v>
      </c>
      <c r="C104">
        <f>(G104*F104)+(F106*G106)</f>
        <v>0.3363</v>
      </c>
      <c r="D104">
        <v>0.2</v>
      </c>
      <c r="E104" t="str">
        <v>Discourse</v>
      </c>
      <c r="F104">
        <f>(J104*I104)+(I105*J105)</f>
        <v>0.7473333333</v>
      </c>
      <c r="G104">
        <v>0.45</v>
      </c>
      <c r="H104" t="str">
        <v>Deliberative component index</v>
      </c>
      <c r="I104">
        <v>0.69</v>
      </c>
      <c r="J104">
        <v>0.6</v>
      </c>
    </row>
    <row r="105">
      <c r="H105" t="str">
        <v>Reasoned justification</v>
      </c>
      <c r="I105">
        <f>2.5/3</f>
        <v>0.8333333333</v>
      </c>
      <c r="J105">
        <v>0.4</v>
      </c>
    </row>
    <row r="106">
      <c r="E106" t="str">
        <v>Policies and legitimacy</v>
      </c>
      <c r="F106">
        <f>(J106*I106)+(I107*J107)</f>
        <v>0</v>
      </c>
      <c r="G106">
        <v>0.55</v>
      </c>
      <c r="H106" t="str">
        <v>Steering Capability (n/a)</v>
      </c>
      <c r="J106">
        <v>0.6</v>
      </c>
    </row>
    <row r="107">
      <c r="H107" t="str">
        <v>Approval of democracy (n/a)</v>
      </c>
      <c r="J107">
        <v>0.4</v>
      </c>
    </row>
    <row r="108">
      <c r="B108" t="str">
        <v>Electoral Integrity</v>
      </c>
      <c r="C108">
        <f>(F108*G108)+(F112*G112)</f>
        <v>0.9466</v>
      </c>
      <c r="D108">
        <v>0.2</v>
      </c>
      <c r="E108" t="str">
        <v>Free and fair elections</v>
      </c>
      <c r="F108">
        <f>(J108*I108)+(J109*I109)+(J110*I110)+(J111*I111)</f>
        <v>0.91825</v>
      </c>
      <c r="G108">
        <v>0.55</v>
      </c>
      <c r="H108" t="str">
        <v>Clean elections index</v>
      </c>
      <c r="I108">
        <v>0.84</v>
      </c>
      <c r="J108">
        <v>0.35</v>
      </c>
    </row>
    <row r="109">
      <c r="H109" t="str">
        <v>Election free and fair</v>
      </c>
      <c r="I109">
        <f>3.77/4</f>
        <v>0.9425</v>
      </c>
      <c r="J109">
        <v>0.35</v>
      </c>
    </row>
    <row r="110">
      <c r="H110" t="str">
        <v>Opposition parties autonomy</v>
      </c>
      <c r="I110">
        <f>3.85/4</f>
        <v>0.9625</v>
      </c>
      <c r="J110">
        <v>0.15</v>
      </c>
    </row>
    <row r="111">
      <c r="H111" t="str">
        <v>Share of population with suffrage</v>
      </c>
      <c r="I111">
        <v>1</v>
      </c>
      <c r="J111">
        <v>0.15</v>
      </c>
    </row>
    <row r="112">
      <c r="E112" t="str">
        <v>Peaceful transition of power</v>
      </c>
      <c r="F112">
        <f>(J112*I112)+(I113*J113)+(I114*J114)</f>
        <v>0.98125</v>
      </c>
      <c r="G112">
        <v>0.45</v>
      </c>
      <c r="H112" t="str">
        <v>Election other electoral violence</v>
      </c>
      <c r="I112">
        <f>3.89/4</f>
        <v>0.9725</v>
      </c>
      <c r="J112">
        <v>0.3</v>
      </c>
    </row>
    <row r="113">
      <c r="H113" t="str">
        <v>Election losers accept results</v>
      </c>
      <c r="I113">
        <f>3.94/4</f>
        <v>0.985</v>
      </c>
      <c r="J113">
        <v>0.3</v>
      </c>
    </row>
    <row r="114">
      <c r="H114" t="str">
        <v>Election government intimidation</v>
      </c>
      <c r="I114">
        <f>3.94/4</f>
        <v>0.985</v>
      </c>
      <c r="J114">
        <v>0.4</v>
      </c>
    </row>
    <row r="115">
      <c r="B115" t="str">
        <v>Democratic memory</v>
      </c>
      <c r="C115">
        <f>(F115*G115)+(F117*G117)</f>
        <v>0.0032</v>
      </c>
      <c r="D115">
        <v>0.1</v>
      </c>
      <c r="E115" t="str">
        <v>Reparations</v>
      </c>
      <c r="F115">
        <f>(J115*I115)+(I116*J116)</f>
        <v>0</v>
      </c>
      <c r="G115">
        <v>0.6</v>
      </c>
      <c r="H115" t="str">
        <v>Truth commission</v>
      </c>
      <c r="I115">
        <v>0</v>
      </c>
      <c r="J115">
        <v>0.5</v>
      </c>
    </row>
    <row r="116">
      <c r="H116" t="str">
        <v>Reparatory policies</v>
      </c>
      <c r="I116">
        <v>0</v>
      </c>
      <c r="J116">
        <v>0.5</v>
      </c>
    </row>
    <row r="117">
      <c r="E117" t="str">
        <v>Legal</v>
      </c>
      <c r="F117">
        <f>(J117*I117)+(I118*J118)</f>
        <v>0.008</v>
      </c>
      <c r="G117">
        <v>0.4</v>
      </c>
      <c r="H117" t="str">
        <v>Amnesty law</v>
      </c>
      <c r="I117">
        <v>0</v>
      </c>
      <c r="J117">
        <v>0.6</v>
      </c>
    </row>
    <row r="118">
      <c r="H118" t="str">
        <v>Domestic trials</v>
      </c>
      <c r="I118">
        <v>0.02</v>
      </c>
      <c r="J118">
        <v>0.4</v>
      </c>
    </row>
    <row r="121">
      <c r="A121" t="str">
        <v>State</v>
      </c>
      <c r="B121" t="str">
        <v>Variable</v>
      </c>
      <c r="C121" t="str">
        <v>SCORE VAR</v>
      </c>
      <c r="D121" t="str">
        <v>% VAR</v>
      </c>
      <c r="E121" t="str">
        <v>Dimension</v>
      </c>
      <c r="F121" t="str">
        <v>SCORE DIM</v>
      </c>
      <c r="G121" t="str">
        <v>% DIM</v>
      </c>
      <c r="H121" t="str">
        <v>Indicator</v>
      </c>
      <c r="I121" t="str">
        <v>SCORE IND</v>
      </c>
      <c r="J121" t="str">
        <v>% IND</v>
      </c>
      <c r="K121" t="str">
        <v>TOTAL INDEX</v>
      </c>
    </row>
    <row r="122">
      <c r="A122" t="str">
        <v>Côte d'Ivoire</v>
      </c>
      <c r="B122" t="str">
        <v>Institutional Integrity</v>
      </c>
      <c r="C122">
        <f>(G122*F122)+(G126*F126)+(G128*F128)+(G131*F131)</f>
        <v>0.442797</v>
      </c>
      <c r="D122">
        <v>0.3</v>
      </c>
      <c r="E122" t="str">
        <v>Rule of Law</v>
      </c>
      <c r="F122">
        <f>(J122*I122)+(J123*I123)+(J124*I124)+(J125*I125)</f>
        <v>0.4638</v>
      </c>
      <c r="G122">
        <v>0.3</v>
      </c>
      <c r="H122" t="str">
        <v>Equal protection index</v>
      </c>
      <c r="I122">
        <v>0.67</v>
      </c>
      <c r="J122">
        <v>0.15</v>
      </c>
      <c r="K122">
        <f>(C122*D122)+(C133*D133)+(C144*D144)+(C148*D148)+(C155*D155)</f>
        <v>0.4622741</v>
      </c>
    </row>
    <row r="123">
      <c r="H123" t="str">
        <v>Rule of law index</v>
      </c>
      <c r="I123">
        <v>0.4</v>
      </c>
      <c r="J123">
        <v>0.5</v>
      </c>
    </row>
    <row r="124">
      <c r="H124" t="str">
        <v>Civil rights</v>
      </c>
      <c r="I124">
        <f>3.82/10</f>
        <v>0.382</v>
      </c>
      <c r="J124">
        <v>0.15</v>
      </c>
    </row>
    <row r="125">
      <c r="H125" t="str">
        <v>Access to justice</v>
      </c>
      <c r="I125">
        <v>0.53</v>
      </c>
      <c r="J125">
        <v>0.2</v>
      </c>
    </row>
    <row r="126">
      <c r="E126" t="str">
        <v>Separation of powers</v>
      </c>
      <c r="F126">
        <f>(J126*I126)+(I127*J127)</f>
        <v>0.31425</v>
      </c>
      <c r="G126">
        <v>0.25</v>
      </c>
      <c r="H126" t="str">
        <v>Separations of power</v>
      </c>
      <c r="I126">
        <f>3/10</f>
        <v>0.3</v>
      </c>
      <c r="J126">
        <v>0.7</v>
      </c>
    </row>
    <row r="127">
      <c r="H127" t="str">
        <v>High court independence</v>
      </c>
      <c r="I127">
        <f>1.39/4</f>
        <v>0.3475</v>
      </c>
      <c r="J127">
        <v>0.3</v>
      </c>
    </row>
    <row r="128">
      <c r="E128" t="str">
        <v>Accountability</v>
      </c>
      <c r="F128">
        <f>(J128*I128)+(I129*J129)+(I130*J130)</f>
        <v>0.537815</v>
      </c>
      <c r="G128">
        <v>0.3</v>
      </c>
      <c r="H128" t="str">
        <v>Control of corruption</v>
      </c>
      <c r="I128">
        <f>42.09/100</f>
        <v>0.4209</v>
      </c>
      <c r="J128">
        <v>0.35</v>
      </c>
    </row>
    <row r="129">
      <c r="H129" t="str">
        <v>Corruption perceptions index (2024)</v>
      </c>
      <c r="I129">
        <f>45/100</f>
        <v>0.45</v>
      </c>
      <c r="J129">
        <v>0.3</v>
      </c>
    </row>
    <row r="130">
      <c r="H130" t="str">
        <v>Diagonal accountability index</v>
      </c>
      <c r="I130">
        <v>0.73</v>
      </c>
      <c r="J130">
        <v>0.35</v>
      </c>
    </row>
    <row r="131">
      <c r="E131" t="str">
        <v>Transparency</v>
      </c>
      <c r="F131">
        <f>(J131*I131)+(I132*J132)</f>
        <v>0.425</v>
      </c>
      <c r="G131">
        <v>0.15</v>
      </c>
      <c r="H131" t="str">
        <v>Open government index</v>
      </c>
      <c r="I131">
        <v>0.35</v>
      </c>
      <c r="J131">
        <v>0.6</v>
      </c>
    </row>
    <row r="132">
      <c r="H132" t="str">
        <v>Government censorship effort</v>
      </c>
      <c r="I132">
        <f>2.15/4</f>
        <v>0.5375</v>
      </c>
      <c r="J132">
        <v>0.4</v>
      </c>
    </row>
    <row r="133">
      <c r="B133" t="str">
        <v>Socio-economic development</v>
      </c>
      <c r="C133">
        <f>(G133*F133)+(F137*G137)+(F141*G141)</f>
        <v>0.4891875</v>
      </c>
      <c r="D133">
        <v>0.2</v>
      </c>
      <c r="E133" t="str">
        <v>Welfare Frameworks</v>
      </c>
      <c r="F133">
        <f>(J133*I133)+(J134*I134)+(J135*I135)+(J136*I136)</f>
        <v>0.321</v>
      </c>
      <c r="G133">
        <v>0.35</v>
      </c>
      <c r="H133" t="str">
        <v>Social safety nets</v>
      </c>
      <c r="I133">
        <f>5/10</f>
        <v>0.5</v>
      </c>
      <c r="J133">
        <v>0.3</v>
      </c>
    </row>
    <row r="134">
      <c r="H134" t="str">
        <v>Educational equality</v>
      </c>
      <c r="I134">
        <f>0.66/4</f>
        <v>0.165</v>
      </c>
      <c r="J134">
        <v>0.2</v>
      </c>
    </row>
    <row r="135">
      <c r="H135" t="str">
        <v>Health equality</v>
      </c>
      <c r="I135">
        <f>0.93/4</f>
        <v>0.2325</v>
      </c>
      <c r="J135">
        <v>0.2</v>
      </c>
    </row>
    <row r="136">
      <c r="H136" t="str">
        <v>Access to public services by socio-economic position (2023)</v>
      </c>
      <c r="I136">
        <f>1.22/4</f>
        <v>0.305</v>
      </c>
      <c r="J136">
        <v>0.3</v>
      </c>
    </row>
    <row r="137">
      <c r="E137" t="str">
        <v>Living Standards</v>
      </c>
      <c r="F137">
        <f>(J137*I137)+(J138*I138)+(J139*I139)</f>
        <v>0.6085</v>
      </c>
      <c r="G137">
        <v>0.4</v>
      </c>
      <c r="H137" t="str">
        <v>HDI</v>
      </c>
      <c r="I137">
        <v>0.582</v>
      </c>
      <c r="J137">
        <v>0.5</v>
      </c>
    </row>
    <row r="138">
      <c r="H138" t="str">
        <v>Infant mortality rate (inverted)</v>
      </c>
      <c r="I138">
        <v>0.55</v>
      </c>
      <c r="J138">
        <v>0.3</v>
      </c>
    </row>
    <row r="139">
      <c r="H139" t="str">
        <v>Freedom of academic &amp; cultural expression</v>
      </c>
      <c r="I139">
        <f>3.05/4</f>
        <v>0.7625</v>
      </c>
      <c r="J139">
        <v>0.2</v>
      </c>
    </row>
    <row r="141">
      <c r="E141" t="str">
        <v>Distribution of Resources</v>
      </c>
      <c r="F141">
        <f>(J141*I141)+(I142*J142)+(I143*J143)</f>
        <v>0.53375</v>
      </c>
      <c r="G141">
        <v>0.25</v>
      </c>
      <c r="H141" t="str">
        <v>Gini Coefficient (inverted) (2021)</v>
      </c>
      <c r="I141">
        <f>(100-35.5)/100</f>
        <v>0.645</v>
      </c>
      <c r="J141">
        <v>0.25</v>
      </c>
    </row>
    <row r="142">
      <c r="H142" t="str">
        <v>Power distributed by socioeconomic position</v>
      </c>
      <c r="I142">
        <f>1.73/4</f>
        <v>0.4325</v>
      </c>
      <c r="J142">
        <v>0.5</v>
      </c>
    </row>
    <row r="143">
      <c r="H143" t="str">
        <v>Poverty headcount ratio (inverted) (2021)</v>
      </c>
      <c r="I143">
        <f>(100-37.5)/100</f>
        <v>0.625</v>
      </c>
      <c r="J143">
        <v>0.25</v>
      </c>
    </row>
    <row r="144">
      <c r="B144" t="str">
        <v>Responsiveness</v>
      </c>
      <c r="C144">
        <f>(G144*F144)+(F146*G146)</f>
        <v>0.4304</v>
      </c>
      <c r="D144">
        <v>0.2</v>
      </c>
      <c r="E144" t="str">
        <v>Discourse</v>
      </c>
      <c r="F144">
        <f>(J144*I144)+(I145*J145)</f>
        <v>0.492</v>
      </c>
      <c r="G144">
        <v>0.45</v>
      </c>
      <c r="H144" t="str">
        <v>Deliberative component index</v>
      </c>
      <c r="I144">
        <v>0.5</v>
      </c>
      <c r="J144">
        <v>0.6</v>
      </c>
    </row>
    <row r="145">
      <c r="H145" t="str">
        <v>Reasoned justification</v>
      </c>
      <c r="I145">
        <f>1.44/3</f>
        <v>0.48</v>
      </c>
      <c r="J145">
        <v>0.4</v>
      </c>
    </row>
    <row r="146">
      <c r="E146" t="str">
        <v>Policies and legitimacy</v>
      </c>
      <c r="F146">
        <f>(J146*I146)+(I147*J147)</f>
        <v>0.38</v>
      </c>
      <c r="G146">
        <v>0.55</v>
      </c>
      <c r="H146" t="str">
        <v>Steering Capability</v>
      </c>
      <c r="I146">
        <f>((6+7+6)/3)/10</f>
        <v>0.6333333333</v>
      </c>
      <c r="J146">
        <v>0.6</v>
      </c>
    </row>
    <row r="147">
      <c r="H147" t="str">
        <v>Approval of democracy (n/a)</v>
      </c>
      <c r="J147">
        <v>0.4</v>
      </c>
    </row>
    <row r="148">
      <c r="B148" t="str">
        <v>Electoral Integrity</v>
      </c>
      <c r="C148">
        <f>(F148*G148)+(F152*G152)</f>
        <v>0.5024875</v>
      </c>
      <c r="D148">
        <v>0.2</v>
      </c>
      <c r="E148" t="str">
        <v>Free and fair elections</v>
      </c>
      <c r="F148">
        <f>(J148*I148)+(J149*I149)+(J150*I150)+(J151*I151)</f>
        <v>0.52825</v>
      </c>
      <c r="G148">
        <v>0.55</v>
      </c>
      <c r="H148" t="str">
        <v>Clean elections index</v>
      </c>
      <c r="I148">
        <v>0.33</v>
      </c>
      <c r="J148">
        <v>0.35</v>
      </c>
    </row>
    <row r="149">
      <c r="H149" t="str">
        <v>Election free and fair</v>
      </c>
      <c r="I149">
        <f>1.61/4</f>
        <v>0.4025</v>
      </c>
      <c r="J149">
        <v>0.35</v>
      </c>
    </row>
    <row r="150">
      <c r="H150" t="str">
        <v>Opposition parties autonomy</v>
      </c>
      <c r="I150">
        <f>3.25/4</f>
        <v>0.8125</v>
      </c>
      <c r="J150">
        <v>0.15</v>
      </c>
    </row>
    <row r="151">
      <c r="H151" t="str">
        <v>Share of population with suffrage</v>
      </c>
      <c r="I151">
        <v>1</v>
      </c>
      <c r="J151">
        <v>0.15</v>
      </c>
    </row>
    <row r="152">
      <c r="E152" t="str">
        <v>Peaceful transition of power</v>
      </c>
      <c r="F152">
        <f>(J152*I152)+(I153*J153)+(I154*J154)</f>
        <v>0.471</v>
      </c>
      <c r="G152">
        <v>0.45</v>
      </c>
      <c r="H152" t="str">
        <v>Election other electoral violence</v>
      </c>
      <c r="I152">
        <f>1.76/4</f>
        <v>0.44</v>
      </c>
      <c r="J152">
        <v>0.3</v>
      </c>
    </row>
    <row r="153">
      <c r="H153" t="str">
        <v>Election losers accept results</v>
      </c>
      <c r="I153">
        <f>2.48/4</f>
        <v>0.62</v>
      </c>
      <c r="J153">
        <v>0.3</v>
      </c>
    </row>
    <row r="154">
      <c r="H154" t="str">
        <v>Election government intimidation</v>
      </c>
      <c r="I154">
        <f>1.53/4</f>
        <v>0.3825</v>
      </c>
      <c r="J154">
        <v>0.4</v>
      </c>
    </row>
    <row r="155">
      <c r="B155" t="str">
        <v>Democratic memory</v>
      </c>
      <c r="C155">
        <f>(F155*G155)+(F157*G157)</f>
        <v>0.4502</v>
      </c>
      <c r="D155">
        <v>0.1</v>
      </c>
      <c r="E155" t="str">
        <v>Reparations</v>
      </c>
      <c r="F155">
        <f>(J155*I155)+(I156*J156)</f>
        <v>0.665</v>
      </c>
      <c r="G155">
        <v>0.6</v>
      </c>
      <c r="H155" t="str">
        <v>Truth commission</v>
      </c>
      <c r="I155">
        <v>1</v>
      </c>
      <c r="J155">
        <v>0.5</v>
      </c>
    </row>
    <row r="156">
      <c r="H156" t="str">
        <v>Reparatory policies</v>
      </c>
      <c r="I156">
        <v>0.33</v>
      </c>
      <c r="J156">
        <v>0.5</v>
      </c>
    </row>
    <row r="157">
      <c r="E157" t="str">
        <v>Legal</v>
      </c>
      <c r="F157">
        <f>(J157*I157)+(I158*J158)</f>
        <v>0.128</v>
      </c>
      <c r="G157">
        <v>0.4</v>
      </c>
      <c r="H157" t="str">
        <v>Amnesty law</v>
      </c>
      <c r="I157">
        <v>0</v>
      </c>
      <c r="J157">
        <v>0.6</v>
      </c>
    </row>
    <row r="158">
      <c r="H158" t="str">
        <v>Domestic trials</v>
      </c>
      <c r="I158">
        <v>0.32</v>
      </c>
      <c r="J158">
        <v>0.4</v>
      </c>
    </row>
    <row r="161">
      <c r="A161" t="str">
        <v>State</v>
      </c>
      <c r="B161" t="str">
        <v>Variable</v>
      </c>
      <c r="C161" t="str">
        <v>SCORE VAR</v>
      </c>
      <c r="D161" t="str">
        <v>% VAR</v>
      </c>
      <c r="E161" t="str">
        <v>Dimension</v>
      </c>
      <c r="F161" t="str">
        <v>SCORE DIM</v>
      </c>
      <c r="G161" t="str">
        <v>% DIM</v>
      </c>
      <c r="H161" t="str">
        <v>Indicator</v>
      </c>
      <c r="I161" t="str">
        <v>SCORE IND</v>
      </c>
      <c r="J161" t="str">
        <v>% IND</v>
      </c>
      <c r="K161" t="str">
        <v>TOTAL INDEX</v>
      </c>
    </row>
    <row r="162">
      <c r="A162" t="str">
        <v>The Gambia</v>
      </c>
      <c r="B162" t="str">
        <v>Institutional Integrity</v>
      </c>
      <c r="C162">
        <f>(G162*F162)+(G166*F166)+(G168*F168)+(G171*F171)</f>
        <v>0.662572</v>
      </c>
      <c r="D162">
        <v>0.3</v>
      </c>
      <c r="E162" t="str">
        <v>Rule of Law</v>
      </c>
      <c r="F162">
        <f>(J162*I162)+(J163*I163)+(J164*I164)+(J165*I165)</f>
        <v>0.7513</v>
      </c>
      <c r="G162">
        <v>0.3</v>
      </c>
      <c r="H162" t="str">
        <v>Equal protection index</v>
      </c>
      <c r="I162">
        <v>0.77</v>
      </c>
      <c r="J162">
        <v>0.15</v>
      </c>
      <c r="K162">
        <f>(C162*D162)+(C173*D173)+(C184*D184)+(C188*D188)+(C195*D195)</f>
        <v>0.6755266</v>
      </c>
    </row>
    <row r="163">
      <c r="H163" t="str">
        <v>Rule of law index</v>
      </c>
      <c r="I163">
        <v>0.8</v>
      </c>
      <c r="J163">
        <v>0.5</v>
      </c>
    </row>
    <row r="164">
      <c r="H164" t="str">
        <v>Civil rights</v>
      </c>
      <c r="I164">
        <f>4.12/10</f>
        <v>0.412</v>
      </c>
      <c r="J164">
        <v>0.15</v>
      </c>
    </row>
    <row r="165">
      <c r="H165" t="str">
        <v>Access to justice</v>
      </c>
      <c r="I165">
        <v>0.87</v>
      </c>
      <c r="J165">
        <v>0.2</v>
      </c>
    </row>
    <row r="166">
      <c r="E166" t="str">
        <v>Separation of powers</v>
      </c>
      <c r="F166">
        <f>(J166*I166)+(I167*J167)</f>
        <v>0.74875</v>
      </c>
      <c r="G166">
        <v>0.25</v>
      </c>
      <c r="H166" t="str">
        <v>Separations of power</v>
      </c>
      <c r="I166">
        <f>7/10</f>
        <v>0.7</v>
      </c>
      <c r="J166">
        <v>0.7</v>
      </c>
    </row>
    <row r="167">
      <c r="H167" t="str">
        <v>High court independence</v>
      </c>
      <c r="I167">
        <f>3.45/4</f>
        <v>0.8625</v>
      </c>
      <c r="J167">
        <v>0.3</v>
      </c>
    </row>
    <row r="168">
      <c r="E168" t="str">
        <v>Accountability</v>
      </c>
      <c r="F168">
        <f>(J168*I168)+(I169*J169)+(I170*J170)</f>
        <v>0.562315</v>
      </c>
      <c r="G168">
        <v>0.3</v>
      </c>
      <c r="H168" t="str">
        <v>Control of corruption</v>
      </c>
      <c r="I168">
        <f>41.09/100</f>
        <v>0.4109</v>
      </c>
      <c r="J168">
        <v>0.35</v>
      </c>
    </row>
    <row r="169">
      <c r="H169" t="str">
        <v>Corruption perceptions index (2024)</v>
      </c>
      <c r="I169">
        <f>38/100</f>
        <v>0.38</v>
      </c>
      <c r="J169">
        <v>0.3</v>
      </c>
    </row>
    <row r="170">
      <c r="H170" t="str">
        <v>Diagonal accountability index</v>
      </c>
      <c r="I170">
        <v>0.87</v>
      </c>
      <c r="J170">
        <v>0.35</v>
      </c>
    </row>
    <row r="171">
      <c r="E171" t="str">
        <v>Transparency</v>
      </c>
      <c r="F171">
        <f>(J171*I171)+(I172*J172)</f>
        <v>0.542</v>
      </c>
      <c r="G171">
        <v>0.15</v>
      </c>
      <c r="H171" t="str">
        <v>Open government index</v>
      </c>
      <c r="I171">
        <v>0.39</v>
      </c>
      <c r="J171">
        <v>0.6</v>
      </c>
    </row>
    <row r="172">
      <c r="H172" t="str">
        <v>Government censorship effort</v>
      </c>
      <c r="I172">
        <f>3.08/4</f>
        <v>0.77</v>
      </c>
      <c r="J172">
        <v>0.4</v>
      </c>
    </row>
    <row r="173">
      <c r="B173" t="str">
        <v>Socio-economic development</v>
      </c>
      <c r="C173">
        <f>(G173*F173)+(F177*G177)+(F181*G181)</f>
        <v>0.5387375</v>
      </c>
      <c r="D173">
        <v>0.2</v>
      </c>
      <c r="E173" t="str">
        <v>Welfare Frameworks</v>
      </c>
      <c r="F173">
        <f>(J173*I173)+(J174*I174)+(J175*I175)+(J176*I176)</f>
        <v>0.44475</v>
      </c>
      <c r="G173">
        <v>0.35</v>
      </c>
      <c r="H173" t="str">
        <v>Social safety nets</v>
      </c>
      <c r="I173">
        <f>4/10</f>
        <v>0.4</v>
      </c>
      <c r="J173">
        <v>0.3</v>
      </c>
    </row>
    <row r="174">
      <c r="H174" t="str">
        <v>Educational equality</v>
      </c>
      <c r="I174">
        <f>1.95/4</f>
        <v>0.4875</v>
      </c>
      <c r="J174">
        <v>0.2</v>
      </c>
    </row>
    <row r="175">
      <c r="H175" t="str">
        <v>Health equality</v>
      </c>
      <c r="I175">
        <f>1.71/4</f>
        <v>0.4275</v>
      </c>
      <c r="J175">
        <v>0.2</v>
      </c>
    </row>
    <row r="176">
      <c r="H176" t="str">
        <v>Access to public services by socio-economic position (2023)</v>
      </c>
      <c r="I176">
        <f>1.89/4</f>
        <v>0.4725</v>
      </c>
      <c r="J176">
        <v>0.3</v>
      </c>
    </row>
    <row r="177">
      <c r="E177" t="str">
        <v>Living Standards</v>
      </c>
      <c r="F177">
        <f>(J177*I177)+(J178*I178)+(J179*I179)</f>
        <v>0.6205</v>
      </c>
      <c r="G177">
        <v>0.4</v>
      </c>
      <c r="H177" t="str">
        <v>HDI</v>
      </c>
      <c r="I177">
        <v>0.524</v>
      </c>
      <c r="J177">
        <v>0.5</v>
      </c>
    </row>
    <row r="178">
      <c r="H178" t="str">
        <v>Infant mortality rate (inverted)</v>
      </c>
      <c r="I178">
        <v>0.67</v>
      </c>
      <c r="J178">
        <v>0.3</v>
      </c>
    </row>
    <row r="179">
      <c r="H179" t="str">
        <v>Freedom of academic &amp; cultural expression</v>
      </c>
      <c r="I179">
        <f>3.15/4</f>
        <v>0.7875</v>
      </c>
      <c r="J179">
        <v>0.2</v>
      </c>
    </row>
    <row r="181">
      <c r="E181" t="str">
        <v>Distribution of Resources</v>
      </c>
      <c r="F181">
        <f>(J181*I181)+(I182*J182)+(I183*J183)</f>
        <v>0.5395</v>
      </c>
      <c r="G181">
        <v>0.25</v>
      </c>
      <c r="H181" t="str">
        <v>Gini Coefficient (inverted) (2020)</v>
      </c>
      <c r="I181">
        <f>(100-38.8)/100</f>
        <v>0.612</v>
      </c>
      <c r="J181">
        <v>0.25</v>
      </c>
    </row>
    <row r="182">
      <c r="H182" t="str">
        <v>Power distributed by socioeconomic position</v>
      </c>
      <c r="I182">
        <f>2.16/4</f>
        <v>0.54</v>
      </c>
      <c r="J182">
        <v>0.5</v>
      </c>
    </row>
    <row r="183">
      <c r="H183" t="str">
        <v>Poverty headcount ratio (inverted) (2020)</v>
      </c>
      <c r="I183">
        <f>(100-53.4)/100</f>
        <v>0.466</v>
      </c>
      <c r="J183">
        <v>0.25</v>
      </c>
    </row>
    <row r="184">
      <c r="B184" t="str">
        <v>Responsiveness</v>
      </c>
      <c r="C184">
        <f>(G184*F184)+(F186*G186)</f>
        <v>0.6882</v>
      </c>
      <c r="D184">
        <v>0.2</v>
      </c>
      <c r="E184" t="str">
        <v>Discourse</v>
      </c>
      <c r="F184">
        <f>(J184*I184)+(I185*J185)</f>
        <v>0.7226666667</v>
      </c>
      <c r="G184">
        <v>0.45</v>
      </c>
      <c r="H184" t="str">
        <v>Deliberative component index</v>
      </c>
      <c r="I184">
        <v>0.74</v>
      </c>
      <c r="J184">
        <v>0.6</v>
      </c>
    </row>
    <row r="185">
      <c r="H185" t="str">
        <v>Reasoned justification</v>
      </c>
      <c r="I185">
        <f>2.09/3</f>
        <v>0.6966666667</v>
      </c>
      <c r="J185">
        <v>0.4</v>
      </c>
    </row>
    <row r="186">
      <c r="E186" t="str">
        <v>Policies and legitimacy</v>
      </c>
      <c r="F186">
        <f>(J186*I186)+(I187*J187)</f>
        <v>0.66</v>
      </c>
      <c r="G186">
        <v>0.55</v>
      </c>
      <c r="H186" t="str">
        <v>Steering Capability</v>
      </c>
      <c r="I186">
        <f>((7+6+6)/3)/10</f>
        <v>0.6333333333</v>
      </c>
      <c r="J186">
        <v>0.6</v>
      </c>
    </row>
    <row r="187">
      <c r="H187" t="str">
        <v>Approval of democracy</v>
      </c>
      <c r="I187">
        <f>7/10</f>
        <v>0.7</v>
      </c>
      <c r="J187">
        <v>0.4</v>
      </c>
    </row>
    <row r="188">
      <c r="B188" t="str">
        <v>Electoral Integrity</v>
      </c>
      <c r="C188">
        <f>(F188*G188)+(F192*G192)</f>
        <v>0.8245375</v>
      </c>
      <c r="D188">
        <v>0.2</v>
      </c>
      <c r="E188" t="str">
        <v>Free and fair elections</v>
      </c>
      <c r="F188">
        <f>(J188*I188)+(J189*I189)+(J190*I190)+(J191*I191)</f>
        <v>0.871</v>
      </c>
      <c r="G188">
        <v>0.55</v>
      </c>
      <c r="H188" t="str">
        <v>Clean elections index</v>
      </c>
      <c r="I188">
        <v>0.78</v>
      </c>
      <c r="J188">
        <v>0.35</v>
      </c>
    </row>
    <row r="189">
      <c r="H189" t="str">
        <v>Election free and fair</v>
      </c>
      <c r="I189">
        <f>3.86/4</f>
        <v>0.965</v>
      </c>
      <c r="J189">
        <v>0.35</v>
      </c>
    </row>
    <row r="190">
      <c r="H190" t="str">
        <v>Opposition parties autonomy</v>
      </c>
      <c r="I190">
        <f>2.94/4</f>
        <v>0.735</v>
      </c>
      <c r="J190">
        <v>0.15</v>
      </c>
    </row>
    <row r="191">
      <c r="H191" t="str">
        <v>Share of population with suffrage</v>
      </c>
      <c r="I191">
        <v>1</v>
      </c>
      <c r="J191">
        <v>0.15</v>
      </c>
    </row>
    <row r="192">
      <c r="E192" t="str">
        <v>Peaceful transition of power</v>
      </c>
      <c r="F192">
        <f>(J192*I192)+(I193*J193)+(I194*J194)</f>
        <v>0.76775</v>
      </c>
      <c r="G192">
        <v>0.45</v>
      </c>
      <c r="H192" t="str">
        <v>Election other electoral violence</v>
      </c>
      <c r="I192">
        <f>2.89/4</f>
        <v>0.7225</v>
      </c>
      <c r="J192">
        <v>0.3</v>
      </c>
    </row>
    <row r="193">
      <c r="H193" t="str">
        <v>Election losers accept results</v>
      </c>
      <c r="I193">
        <f>2.76/4</f>
        <v>0.69</v>
      </c>
      <c r="J193">
        <v>0.3</v>
      </c>
    </row>
    <row r="194">
      <c r="H194" t="str">
        <v>Election government intimidation</v>
      </c>
      <c r="I194">
        <f>3.44/4</f>
        <v>0.86</v>
      </c>
      <c r="J194">
        <v>0.4</v>
      </c>
    </row>
    <row r="195">
      <c r="B195" t="str">
        <v>Democratic memory</v>
      </c>
      <c r="C195">
        <f>(F195*G195)+(F197*G197)</f>
        <v>0.6646</v>
      </c>
      <c r="D195">
        <v>0.1</v>
      </c>
      <c r="E195" t="str">
        <v>Reparations</v>
      </c>
      <c r="F195">
        <f>(J195*I195)+(I196*J196)</f>
        <v>0.665</v>
      </c>
      <c r="G195">
        <v>0.6</v>
      </c>
      <c r="H195" t="str">
        <v>Truth commission</v>
      </c>
      <c r="I195">
        <v>1</v>
      </c>
      <c r="J195">
        <v>0.5</v>
      </c>
    </row>
    <row r="196">
      <c r="H196" t="str">
        <v>Reparatory policies</v>
      </c>
      <c r="I196">
        <v>0.33</v>
      </c>
      <c r="J196">
        <v>0.5</v>
      </c>
    </row>
    <row r="197">
      <c r="E197" t="str">
        <v>Legal</v>
      </c>
      <c r="F197">
        <f>(J197*I197)+(I198*J198)</f>
        <v>0.664</v>
      </c>
      <c r="G197">
        <v>0.4</v>
      </c>
      <c r="H197" t="str">
        <v>Amnesty law</v>
      </c>
      <c r="I197">
        <v>1</v>
      </c>
      <c r="J197">
        <v>0.6</v>
      </c>
    </row>
    <row r="198">
      <c r="H198" t="str">
        <v>Domestic trials</v>
      </c>
      <c r="I198">
        <v>0.16</v>
      </c>
      <c r="J198">
        <v>0.4</v>
      </c>
    </row>
    <row r="201">
      <c r="A201" t="str">
        <v>State</v>
      </c>
      <c r="B201" t="str">
        <v>Variable</v>
      </c>
      <c r="C201" t="str">
        <v>SCORE VAR</v>
      </c>
      <c r="D201" t="str">
        <v>% VAR</v>
      </c>
      <c r="E201" t="str">
        <v>Dimension</v>
      </c>
      <c r="F201" t="str">
        <v>SCORE DIM</v>
      </c>
      <c r="G201" t="str">
        <v>% DIM</v>
      </c>
      <c r="H201" t="str">
        <v>Indicator</v>
      </c>
      <c r="I201" t="str">
        <v>SCORE IND</v>
      </c>
      <c r="J201" t="str">
        <v>% IND</v>
      </c>
      <c r="K201" t="str">
        <v>TOTAL INDEX</v>
      </c>
    </row>
    <row r="202">
      <c r="A202" t="str">
        <v>Ghana</v>
      </c>
      <c r="B202" t="str">
        <v>Institutional Integrity</v>
      </c>
      <c r="C202">
        <f>(G202*F202)+(G206*F206)+(G208*F208)+(G211*F211)</f>
        <v>0.658397</v>
      </c>
      <c r="D202">
        <v>0.3</v>
      </c>
      <c r="E202" t="str">
        <v>Rule of Law</v>
      </c>
      <c r="F202">
        <f>(J202*I202)+(J203*I203)+(J204*I204)+(J205*I205)</f>
        <v>0.6377</v>
      </c>
      <c r="G202">
        <v>0.3</v>
      </c>
      <c r="H202" t="str">
        <v>Equal protection index</v>
      </c>
      <c r="I202">
        <v>0.79</v>
      </c>
      <c r="J202">
        <v>0.15</v>
      </c>
      <c r="K202">
        <f>(C202*D202)+(C213*D213)+(C224*D224)+(C228*D228)+(C235*D235)</f>
        <v>0.677514</v>
      </c>
    </row>
    <row r="203">
      <c r="H203" t="str">
        <v>Rule of law index</v>
      </c>
      <c r="I203">
        <v>0.57</v>
      </c>
      <c r="J203">
        <v>0.5</v>
      </c>
    </row>
    <row r="204">
      <c r="H204" t="str">
        <v>Civil rights</v>
      </c>
      <c r="I204">
        <f>5.88</f>
        <v>0.588</v>
      </c>
      <c r="J204">
        <v>0.15</v>
      </c>
    </row>
    <row r="205">
      <c r="H205" t="str">
        <v>Access to justice</v>
      </c>
      <c r="I205">
        <v>0.73</v>
      </c>
      <c r="J205">
        <v>0.2</v>
      </c>
    </row>
    <row r="206">
      <c r="E206" t="str">
        <v>Separation of powers</v>
      </c>
      <c r="F206">
        <f>(J206*I206)+(I207*J207)</f>
        <v>0.785</v>
      </c>
      <c r="G206">
        <v>0.25</v>
      </c>
      <c r="H206" t="str">
        <v>Separations of power</v>
      </c>
      <c r="I206">
        <f>8/10</f>
        <v>0.8</v>
      </c>
      <c r="J206">
        <v>0.7</v>
      </c>
    </row>
    <row r="207">
      <c r="H207" t="str">
        <v>High court independence</v>
      </c>
      <c r="I207">
        <f>3/4</f>
        <v>0.75</v>
      </c>
      <c r="J207">
        <v>0.3</v>
      </c>
    </row>
    <row r="208">
      <c r="E208" t="str">
        <v>Accountability</v>
      </c>
      <c r="F208">
        <f>(J208*I208)+(I209*J209)+(I210*J210)</f>
        <v>0.59129</v>
      </c>
      <c r="G208">
        <v>0.3</v>
      </c>
      <c r="H208" t="str">
        <v>Control of corruption</v>
      </c>
      <c r="I208">
        <f>43.94/100</f>
        <v>0.4394</v>
      </c>
      <c r="J208">
        <v>0.35</v>
      </c>
    </row>
    <row r="209">
      <c r="H209" t="str">
        <v>Corruption perceptions index (2024)</v>
      </c>
      <c r="I209">
        <f>42/100</f>
        <v>0.42</v>
      </c>
      <c r="J209">
        <v>0.3</v>
      </c>
    </row>
    <row r="210">
      <c r="H210" t="str">
        <v>Diagonal accountability index</v>
      </c>
      <c r="I210">
        <v>0.89</v>
      </c>
      <c r="J210">
        <v>0.35</v>
      </c>
    </row>
    <row r="211">
      <c r="E211" t="str">
        <v>Transparency</v>
      </c>
      <c r="F211">
        <f>(J211*I211)+(I212*J212)</f>
        <v>0.623</v>
      </c>
      <c r="G211">
        <v>0.15</v>
      </c>
      <c r="H211" t="str">
        <v>Open government index</v>
      </c>
      <c r="I211">
        <v>0.51</v>
      </c>
      <c r="J211">
        <v>0.6</v>
      </c>
    </row>
    <row r="212">
      <c r="H212" t="str">
        <v>Government censorship effort</v>
      </c>
      <c r="I212">
        <f>3.17/4</f>
        <v>0.7925</v>
      </c>
      <c r="J212">
        <v>0.4</v>
      </c>
    </row>
    <row r="213">
      <c r="B213" t="str">
        <v>Socio-economic development</v>
      </c>
      <c r="C213">
        <f>(G213*F213)+(F217*G217)+(F221*G221)</f>
        <v>0.6247</v>
      </c>
      <c r="D213">
        <v>0.2</v>
      </c>
      <c r="E213" t="str">
        <v>Welfare Frameworks</v>
      </c>
      <c r="F213">
        <f>(J213*I213)+(J214*I214)+(J215*I215)+(J216*I216)</f>
        <v>0.53075</v>
      </c>
      <c r="G213">
        <v>0.35</v>
      </c>
      <c r="H213" t="str">
        <v>Social safety nets</v>
      </c>
      <c r="I213">
        <f>5/10</f>
        <v>0.5</v>
      </c>
      <c r="J213">
        <v>0.3</v>
      </c>
    </row>
    <row r="214">
      <c r="H214" t="str">
        <v>Educational equality</v>
      </c>
      <c r="I214">
        <f>1.21/4</f>
        <v>0.3025</v>
      </c>
      <c r="J214">
        <v>0.2</v>
      </c>
    </row>
    <row r="215">
      <c r="H215" t="str">
        <v>Health equality</v>
      </c>
      <c r="I215">
        <f>1.98/4</f>
        <v>0.495</v>
      </c>
      <c r="J215">
        <v>0.2</v>
      </c>
    </row>
    <row r="216">
      <c r="H216" t="str">
        <v>Access to public services by socio-economic position</v>
      </c>
      <c r="I216">
        <f>2.95/4</f>
        <v>0.7375</v>
      </c>
      <c r="J216">
        <v>0.3</v>
      </c>
    </row>
    <row r="217">
      <c r="E217" t="str">
        <v>Living Standards</v>
      </c>
      <c r="F217">
        <f>(J217*I217)+(J218*I218)+(J219*I219)</f>
        <v>0.7175</v>
      </c>
      <c r="G217">
        <v>0.4</v>
      </c>
      <c r="H217" t="str">
        <v>HDI</v>
      </c>
      <c r="I217">
        <v>0.628</v>
      </c>
      <c r="J217">
        <v>0.5</v>
      </c>
    </row>
    <row r="218">
      <c r="H218" t="str">
        <v>Infant mortality rate (inverted)</v>
      </c>
      <c r="I218">
        <v>0.72</v>
      </c>
      <c r="J218">
        <v>0.3</v>
      </c>
    </row>
    <row r="219">
      <c r="H219" t="str">
        <v>Freedom of academic &amp; cultural expression</v>
      </c>
      <c r="I219">
        <f>3.75/4</f>
        <v>0.9375</v>
      </c>
      <c r="J219">
        <v>0.2</v>
      </c>
    </row>
    <row r="221">
      <c r="E221" t="str">
        <v>Distribution of Resources</v>
      </c>
      <c r="F221">
        <f>(J221*I221)+(I222*J222)+(I223*J223)</f>
        <v>0.60775</v>
      </c>
      <c r="G221">
        <v>0.25</v>
      </c>
      <c r="H221" t="str">
        <v>Gini Coefficient (inverted) (2016)</v>
      </c>
      <c r="I221">
        <f>(100-43.5)/100</f>
        <v>0.565</v>
      </c>
      <c r="J221">
        <v>0.25</v>
      </c>
    </row>
    <row r="222">
      <c r="H222" t="str">
        <v>Power distributed by socioeconomic position</v>
      </c>
      <c r="I222">
        <f>2.2/4</f>
        <v>0.55</v>
      </c>
      <c r="J222">
        <v>0.5</v>
      </c>
    </row>
    <row r="223">
      <c r="H223" t="str">
        <v>Poverty headcount ratio (inverted) (2016)</v>
      </c>
      <c r="I223">
        <f>(100-23.4)/100</f>
        <v>0.766</v>
      </c>
      <c r="J223">
        <v>0.25</v>
      </c>
    </row>
    <row r="224">
      <c r="B224" t="str">
        <v>Responsiveness</v>
      </c>
      <c r="C224">
        <f>(G224*F224)+(F226*G226)</f>
        <v>0.7322</v>
      </c>
      <c r="D224">
        <v>0.2</v>
      </c>
      <c r="E224" t="str">
        <v>Discourse</v>
      </c>
      <c r="F224">
        <f>(J224*I224)+(I225*J225)</f>
        <v>0.796</v>
      </c>
      <c r="G224">
        <v>0.45</v>
      </c>
      <c r="H224" t="str">
        <v>Deliberative component index</v>
      </c>
      <c r="I224">
        <v>0.82</v>
      </c>
      <c r="J224">
        <v>0.6</v>
      </c>
    </row>
    <row r="225">
      <c r="H225" t="str">
        <v>Reasoned justification</v>
      </c>
      <c r="I225">
        <f>2.28/3</f>
        <v>0.76</v>
      </c>
      <c r="J225">
        <v>0.4</v>
      </c>
    </row>
    <row r="226">
      <c r="E226" t="str">
        <v>Policies and legitimacy</v>
      </c>
      <c r="F226">
        <f>(J226*I226)+(I227*J227)</f>
        <v>0.68</v>
      </c>
      <c r="G226">
        <v>0.55</v>
      </c>
      <c r="H226" t="str">
        <v>Steering Capability</v>
      </c>
      <c r="I226">
        <f>6/10</f>
        <v>0.6</v>
      </c>
      <c r="J226">
        <v>0.6</v>
      </c>
    </row>
    <row r="227">
      <c r="H227" t="str">
        <v>Approval of democracy</v>
      </c>
      <c r="I227">
        <f>8/10</f>
        <v>0.8</v>
      </c>
      <c r="J227">
        <v>0.4</v>
      </c>
    </row>
    <row r="228">
      <c r="B228" t="str">
        <v>Electoral Integrity</v>
      </c>
      <c r="C228">
        <f>(F228*G228)+(F232*G232)</f>
        <v>0.813175</v>
      </c>
      <c r="D228">
        <v>0.2</v>
      </c>
      <c r="E228" t="str">
        <v>Free and fair elections</v>
      </c>
      <c r="F228">
        <f>(J228*I228)+(J229*I229)+(J230*I230)+(J231*I231)</f>
        <v>0.81475</v>
      </c>
      <c r="G228">
        <v>0.55</v>
      </c>
      <c r="H228" t="str">
        <v>Clean elections index</v>
      </c>
      <c r="I228">
        <v>0.71</v>
      </c>
      <c r="J228">
        <v>0.35</v>
      </c>
    </row>
    <row r="229">
      <c r="H229" t="str">
        <v>Election free and fair</v>
      </c>
      <c r="I229">
        <f>3.18/4</f>
        <v>0.795</v>
      </c>
      <c r="J229">
        <v>0.35</v>
      </c>
    </row>
    <row r="230">
      <c r="H230" t="str">
        <v>Opposition parties autonomy</v>
      </c>
      <c r="I230">
        <f>3.68/4</f>
        <v>0.92</v>
      </c>
      <c r="J230">
        <v>0.15</v>
      </c>
    </row>
    <row r="231">
      <c r="H231" t="str">
        <v>Share of population with suffrage</v>
      </c>
      <c r="I231">
        <v>1</v>
      </c>
      <c r="J231">
        <v>0.15</v>
      </c>
    </row>
    <row r="232">
      <c r="E232" t="str">
        <v>Peaceful transition of power</v>
      </c>
      <c r="F232">
        <f>(J232*I232)+(I233*J233)+(I234*J234)</f>
        <v>0.81125</v>
      </c>
      <c r="G232">
        <v>0.45</v>
      </c>
      <c r="H232" t="str">
        <v>Election other electoral violence</v>
      </c>
      <c r="I232">
        <f>2.55/4</f>
        <v>0.6375</v>
      </c>
      <c r="J232">
        <v>0.3</v>
      </c>
    </row>
    <row r="233">
      <c r="H233" t="str">
        <v>Election losers accept results</v>
      </c>
      <c r="I233">
        <f>3.68/4</f>
        <v>0.92</v>
      </c>
      <c r="J233">
        <v>0.3</v>
      </c>
    </row>
    <row r="234">
      <c r="H234" t="str">
        <v>Election government intimidation</v>
      </c>
      <c r="I234">
        <f>3.44/4</f>
        <v>0.86</v>
      </c>
      <c r="J234">
        <v>0.4</v>
      </c>
    </row>
    <row r="235">
      <c r="B235" t="str">
        <v>Democratic memory</v>
      </c>
      <c r="C235">
        <f>(F235*G235)+(F237*G237)</f>
        <v>0.4598</v>
      </c>
      <c r="D235">
        <v>0.1</v>
      </c>
      <c r="E235" t="str">
        <v>Reparations</v>
      </c>
      <c r="F235">
        <f>(J235*I235)+(I236*J236)</f>
        <v>0.665</v>
      </c>
      <c r="G235">
        <v>0.6</v>
      </c>
      <c r="H235" t="str">
        <v>Truth commission</v>
      </c>
      <c r="I235">
        <v>1</v>
      </c>
      <c r="J235">
        <v>0.5</v>
      </c>
    </row>
    <row r="236">
      <c r="H236" t="str">
        <v>Reparatory policies</v>
      </c>
      <c r="I236">
        <v>0.33</v>
      </c>
      <c r="J236">
        <v>0.5</v>
      </c>
    </row>
    <row r="237">
      <c r="E237" t="str">
        <v>Legal</v>
      </c>
      <c r="F237">
        <f>(J237*I237)+(I238*J238)</f>
        <v>0.152</v>
      </c>
      <c r="G237">
        <v>0.4</v>
      </c>
      <c r="H237" t="str">
        <v>Amnesty law</v>
      </c>
      <c r="I237">
        <v>0</v>
      </c>
      <c r="J237">
        <v>0.6</v>
      </c>
    </row>
    <row r="238">
      <c r="H238" t="str">
        <v>Domestic trials</v>
      </c>
      <c r="I238">
        <v>0.38</v>
      </c>
      <c r="J238">
        <v>0.4</v>
      </c>
    </row>
    <row r="241">
      <c r="A241" t="str">
        <v>State</v>
      </c>
      <c r="B241" t="str">
        <v>Variable</v>
      </c>
      <c r="C241" t="str">
        <v>SCORE VAR</v>
      </c>
      <c r="D241" t="str">
        <v>% VAR</v>
      </c>
      <c r="E241" t="str">
        <v>Dimension</v>
      </c>
      <c r="F241" t="str">
        <v>SCORE DIM</v>
      </c>
      <c r="G241" t="str">
        <v>% DIM</v>
      </c>
      <c r="H241" t="str">
        <v>Indicator</v>
      </c>
      <c r="I241" t="str">
        <v>SCORE IND</v>
      </c>
      <c r="J241" t="str">
        <v>% IND</v>
      </c>
      <c r="K241" t="str">
        <v>TOTAL INDEX</v>
      </c>
    </row>
    <row r="242">
      <c r="A242" t="str">
        <v>Guinea</v>
      </c>
      <c r="B242" t="str">
        <v>Institutional Integrity</v>
      </c>
      <c r="C242">
        <f>(G242*F242)+(G246*F246)+(G248*F248)+(G251*F251)</f>
        <v>0.286129</v>
      </c>
      <c r="D242">
        <v>0.3</v>
      </c>
      <c r="E242" t="str">
        <v>Rule of Law</v>
      </c>
      <c r="F242">
        <f>(J242*I242)+(J243*I243)+(J244*I244)+(J245*I245)</f>
        <v>0.2364</v>
      </c>
      <c r="G242">
        <v>0.3</v>
      </c>
      <c r="H242" t="str">
        <v>Equal protection index</v>
      </c>
      <c r="I242">
        <v>0.63</v>
      </c>
      <c r="J242">
        <v>0.15</v>
      </c>
      <c r="K242">
        <f>(C242*D242)+(C253*D253)+(C264*D264)+(C268*D268)+(C275*D275)</f>
        <v>0.29971745</v>
      </c>
    </row>
    <row r="243">
      <c r="H243" t="str">
        <v>Rule of law index</v>
      </c>
      <c r="I243">
        <v>0.11</v>
      </c>
      <c r="J243">
        <v>0.5</v>
      </c>
    </row>
    <row r="244">
      <c r="H244" t="str">
        <v>Civil rights</v>
      </c>
      <c r="I244">
        <f>2.06/10</f>
        <v>0.206</v>
      </c>
      <c r="J244">
        <v>0.15</v>
      </c>
    </row>
    <row r="245">
      <c r="H245" t="str">
        <v>Access to justice</v>
      </c>
      <c r="I245">
        <v>0.28</v>
      </c>
      <c r="J245">
        <v>0.2</v>
      </c>
    </row>
    <row r="246">
      <c r="E246" t="str">
        <v>Separation of powers</v>
      </c>
      <c r="F246">
        <f>(J246*I246)+(I247*J247)</f>
        <v>0.1435</v>
      </c>
      <c r="G246">
        <v>0.25</v>
      </c>
      <c r="H246" t="str">
        <v>Separations of power</v>
      </c>
      <c r="I246">
        <f>1/10</f>
        <v>0.1</v>
      </c>
      <c r="J246">
        <v>0.7</v>
      </c>
    </row>
    <row r="247">
      <c r="H247" t="str">
        <v>High court independence</v>
      </c>
      <c r="I247">
        <f>0.98/4</f>
        <v>0.245</v>
      </c>
      <c r="J247">
        <v>0.3</v>
      </c>
    </row>
    <row r="248">
      <c r="E248" t="str">
        <v>Accountability</v>
      </c>
      <c r="F248">
        <f>(J248*I248)+(I249*J249)+(I250*J250)</f>
        <v>0.33978</v>
      </c>
      <c r="G248">
        <v>0.3</v>
      </c>
      <c r="H248" t="str">
        <v>Control of corruption</v>
      </c>
      <c r="I248">
        <f>24.08/100</f>
        <v>0.2408</v>
      </c>
      <c r="J248">
        <v>0.35</v>
      </c>
    </row>
    <row r="249">
      <c r="H249" t="str">
        <v>Corruption perceptions index (2024)</v>
      </c>
      <c r="I249">
        <f>28/100</f>
        <v>0.28</v>
      </c>
      <c r="J249">
        <v>0.3</v>
      </c>
    </row>
    <row r="250">
      <c r="H250" t="str">
        <v>Diagonal accountability index</v>
      </c>
      <c r="I250">
        <v>0.49</v>
      </c>
      <c r="J250">
        <v>0.35</v>
      </c>
    </row>
    <row r="251">
      <c r="E251" t="str">
        <v>Transparency</v>
      </c>
      <c r="F251">
        <f>(J251*I251)+(I252*J252)</f>
        <v>0.516</v>
      </c>
      <c r="G251">
        <v>0.15</v>
      </c>
      <c r="H251" t="str">
        <v>Open government index</v>
      </c>
      <c r="I251">
        <v>0.36</v>
      </c>
      <c r="J251">
        <v>0.6</v>
      </c>
    </row>
    <row r="252">
      <c r="H252" t="str">
        <v>Government censorship effort</v>
      </c>
      <c r="I252">
        <f>3/4</f>
        <v>0.75</v>
      </c>
      <c r="J252">
        <v>0.4</v>
      </c>
    </row>
    <row r="253">
      <c r="B253" t="str">
        <v>Socio-economic development</v>
      </c>
      <c r="C253">
        <f>(G253*F253)+(F257*G257)+(F261*G261)</f>
        <v>0.3980875</v>
      </c>
      <c r="D253">
        <v>0.2</v>
      </c>
      <c r="E253" t="str">
        <v>Welfare Frameworks</v>
      </c>
      <c r="F253">
        <f>(J253*I253)+(J254*I254)+(J255*I255)+(J256*I256)</f>
        <v>0.27975</v>
      </c>
      <c r="G253">
        <v>0.35</v>
      </c>
      <c r="H253" t="str">
        <v>Social safety nets</v>
      </c>
      <c r="I253">
        <f>4/10</f>
        <v>0.4</v>
      </c>
      <c r="J253">
        <v>0.3</v>
      </c>
    </row>
    <row r="254">
      <c r="H254" t="str">
        <v>Educational equality</v>
      </c>
      <c r="I254">
        <f>0.35/4</f>
        <v>0.0875</v>
      </c>
      <c r="J254">
        <v>0.2</v>
      </c>
    </row>
    <row r="255">
      <c r="H255" t="str">
        <v>Health equality</v>
      </c>
      <c r="I255">
        <f>0.49/4</f>
        <v>0.1225</v>
      </c>
      <c r="J255">
        <v>0.2</v>
      </c>
    </row>
    <row r="256">
      <c r="H256" t="str">
        <v>Access to public services by socio-economic position (2021)</v>
      </c>
      <c r="I256">
        <f>1.57/4</f>
        <v>0.3925</v>
      </c>
      <c r="J256">
        <v>0.3</v>
      </c>
    </row>
    <row r="257">
      <c r="E257" t="str">
        <v>Living Standards</v>
      </c>
      <c r="F257">
        <f>(J257*I257)+(J258*I258)+(J259*I259)</f>
        <v>0.4095</v>
      </c>
      <c r="G257">
        <v>0.4</v>
      </c>
      <c r="H257" t="str">
        <v>HDI</v>
      </c>
      <c r="I257">
        <v>0.5</v>
      </c>
      <c r="J257">
        <v>0.5</v>
      </c>
    </row>
    <row r="258">
      <c r="H258" t="str">
        <v>Infant mortality rate (inverted)</v>
      </c>
      <c r="I258">
        <v>0.4</v>
      </c>
      <c r="J258">
        <v>0.3</v>
      </c>
    </row>
    <row r="259">
      <c r="H259" t="str">
        <v>Freedom of academic &amp; cultural expression</v>
      </c>
      <c r="I259">
        <f>0.79/4</f>
        <v>0.1975</v>
      </c>
      <c r="J259">
        <v>0.2</v>
      </c>
    </row>
    <row r="261">
      <c r="E261" t="str">
        <v>Distribution of Resources</v>
      </c>
      <c r="F261">
        <f>(J261*I261)+(I262*J262)+(I263*J263)</f>
        <v>0.5455</v>
      </c>
      <c r="G261">
        <v>0.25</v>
      </c>
      <c r="H261" t="str">
        <v>Gini Coefficient (inverted) (2018)</v>
      </c>
      <c r="I261">
        <f>(100-29.6)/100</f>
        <v>0.704</v>
      </c>
      <c r="J261">
        <v>0.25</v>
      </c>
    </row>
    <row r="262">
      <c r="H262" t="str">
        <v>Power distributed by socioeconomic position</v>
      </c>
      <c r="I262">
        <f>1.83/4</f>
        <v>0.4575</v>
      </c>
      <c r="J262">
        <v>0.5</v>
      </c>
    </row>
    <row r="263">
      <c r="H263" t="str">
        <v>Poverty headcount ratio (inverted) (2018)</v>
      </c>
      <c r="I263">
        <f>(100-43.7)/100</f>
        <v>0.563</v>
      </c>
      <c r="J263">
        <v>0.25</v>
      </c>
    </row>
    <row r="264">
      <c r="B264" t="str">
        <v>Responsiveness</v>
      </c>
      <c r="C264">
        <f>(G264*F264)+(F266*G266)</f>
        <v>0.2459</v>
      </c>
      <c r="D264">
        <v>0.2</v>
      </c>
      <c r="E264" t="str">
        <v>Discourse</v>
      </c>
      <c r="F264">
        <f>(J264*I264)+(I265*J265)</f>
        <v>0.2286666667</v>
      </c>
      <c r="G264">
        <v>0.45</v>
      </c>
      <c r="H264" t="str">
        <v>Deliberative component index</v>
      </c>
      <c r="I264">
        <v>0.27</v>
      </c>
      <c r="J264">
        <v>0.6</v>
      </c>
    </row>
    <row r="265">
      <c r="H265" t="str">
        <v>Reasoned justification</v>
      </c>
      <c r="I265">
        <f>0.5/3</f>
        <v>0.1666666667</v>
      </c>
      <c r="J265">
        <v>0.4</v>
      </c>
    </row>
    <row r="266">
      <c r="E266" t="str">
        <v>Policies and legitimacy</v>
      </c>
      <c r="F266">
        <f>(J266*I266)+(I267*J267)</f>
        <v>0.26</v>
      </c>
      <c r="G266">
        <v>0.55</v>
      </c>
      <c r="H266" t="str">
        <v>Steering Capability</v>
      </c>
      <c r="I266">
        <f>((4+4+5)/3)/10</f>
        <v>0.4333333333</v>
      </c>
      <c r="J266">
        <v>0.6</v>
      </c>
    </row>
    <row r="267">
      <c r="H267" t="str">
        <v>Approval of democracy (n/a)</v>
      </c>
      <c r="J267">
        <v>0.4</v>
      </c>
    </row>
    <row r="268">
      <c r="B268" t="str">
        <v>Electoral Integrity</v>
      </c>
      <c r="C268">
        <f>(F268*G268)+(F272*G272)</f>
        <v>0.41500625</v>
      </c>
      <c r="D268">
        <v>0.2</v>
      </c>
      <c r="E268" t="str">
        <v>Free and fair elections</v>
      </c>
      <c r="F268">
        <f>(J268*I268)+(J269*I269)+(J270*I270)+(J271*I271)</f>
        <v>0.372875</v>
      </c>
      <c r="G268">
        <v>0.55</v>
      </c>
      <c r="H268" t="str">
        <v>Clean elections index</v>
      </c>
      <c r="I268">
        <v>0</v>
      </c>
      <c r="J268">
        <v>0.35</v>
      </c>
    </row>
    <row r="269">
      <c r="H269" t="str">
        <v>Election free and fair</v>
      </c>
      <c r="I269">
        <f>1.21/4</f>
        <v>0.3025</v>
      </c>
      <c r="J269">
        <v>0.35</v>
      </c>
    </row>
    <row r="270">
      <c r="H270" t="str">
        <v>Opposition parties autonomy</v>
      </c>
      <c r="I270">
        <f>3.12/4</f>
        <v>0.78</v>
      </c>
      <c r="J270">
        <v>0.15</v>
      </c>
    </row>
    <row r="271">
      <c r="H271" t="str">
        <v>Share of population with suffrage</v>
      </c>
      <c r="I271">
        <v>1</v>
      </c>
      <c r="J271">
        <v>0.15</v>
      </c>
    </row>
    <row r="272">
      <c r="E272" t="str">
        <v>Peaceful transition of power</v>
      </c>
      <c r="F272">
        <f>(J272*I272)+(I273*J273)+(I274*J274)</f>
        <v>0.4665</v>
      </c>
      <c r="G272">
        <v>0.45</v>
      </c>
      <c r="H272" t="str">
        <v>Election other electoral violence</v>
      </c>
      <c r="I272">
        <f>2.58/4</f>
        <v>0.645</v>
      </c>
      <c r="J272">
        <v>0.3</v>
      </c>
    </row>
    <row r="273">
      <c r="H273" t="str">
        <v>Election losers accept results</v>
      </c>
      <c r="I273">
        <f>1.48/4</f>
        <v>0.37</v>
      </c>
      <c r="J273">
        <v>0.3</v>
      </c>
    </row>
    <row r="274">
      <c r="H274" t="str">
        <v>Election government intimidation</v>
      </c>
      <c r="I274">
        <f>1.62/4</f>
        <v>0.405</v>
      </c>
      <c r="J274">
        <v>0.4</v>
      </c>
    </row>
    <row r="275">
      <c r="B275" t="str">
        <v>Democratic memory</v>
      </c>
      <c r="C275">
        <f>(F275*G275)+(F277*G277)</f>
        <v>0.0208</v>
      </c>
      <c r="D275">
        <v>0.1</v>
      </c>
      <c r="E275" t="str">
        <v>Reparations</v>
      </c>
      <c r="F275">
        <f>(J275*I275)+(I276*J276)</f>
        <v>0</v>
      </c>
      <c r="G275">
        <v>0.6</v>
      </c>
      <c r="H275" t="str">
        <v>Truth commission</v>
      </c>
      <c r="I275">
        <v>0</v>
      </c>
      <c r="J275">
        <v>0.5</v>
      </c>
    </row>
    <row r="276">
      <c r="H276" t="str">
        <v>Reparatory policies</v>
      </c>
      <c r="I276">
        <v>0</v>
      </c>
      <c r="J276">
        <v>0.5</v>
      </c>
    </row>
    <row r="277">
      <c r="E277" t="str">
        <v>Legal</v>
      </c>
      <c r="F277">
        <f>(J277*I277)+(I278*J278)</f>
        <v>0.052</v>
      </c>
      <c r="G277">
        <v>0.4</v>
      </c>
      <c r="H277" t="str">
        <v>Amnesty law</v>
      </c>
      <c r="I277">
        <v>0</v>
      </c>
      <c r="J277">
        <v>0.6</v>
      </c>
    </row>
    <row r="278">
      <c r="H278" t="str">
        <v>Domestic trials</v>
      </c>
      <c r="I278">
        <v>0.13</v>
      </c>
      <c r="J278">
        <v>0.4</v>
      </c>
    </row>
    <row r="281">
      <c r="A281" t="str">
        <v>State</v>
      </c>
      <c r="B281" t="str">
        <v>Variable</v>
      </c>
      <c r="C281" t="str">
        <v>SCORE VAR</v>
      </c>
      <c r="D281" t="str">
        <v>% VAR</v>
      </c>
      <c r="E281" t="str">
        <v>Dimension</v>
      </c>
      <c r="F281" t="str">
        <v>SCORE DIM</v>
      </c>
      <c r="G281" t="str">
        <v>% DIM</v>
      </c>
      <c r="H281" t="str">
        <v>Indicator</v>
      </c>
      <c r="I281" t="str">
        <v>SCORE IND</v>
      </c>
      <c r="J281" t="str">
        <v>% IND</v>
      </c>
      <c r="K281" t="str">
        <v>TOTAL INDEX</v>
      </c>
    </row>
    <row r="282">
      <c r="A282" t="str">
        <v>Guinea-Bissau</v>
      </c>
      <c r="B282" t="str">
        <v>Institutional Integrity</v>
      </c>
      <c r="C282">
        <f>(G282*F282)+(G286*F286)+(G288*F288)+(G291*F291)</f>
        <v>0.270715</v>
      </c>
      <c r="D282">
        <v>0.3</v>
      </c>
      <c r="E282" t="str">
        <v>Rule of Law</v>
      </c>
      <c r="F282">
        <f>(J282*I282)+(J283*I283)+(J284*I284)+(J285*I285)</f>
        <v>0.29275</v>
      </c>
      <c r="G282">
        <v>0.3</v>
      </c>
      <c r="H282" t="str">
        <v>Equal protection index</v>
      </c>
      <c r="I282">
        <v>0.71</v>
      </c>
      <c r="J282">
        <v>0.15</v>
      </c>
      <c r="K282">
        <f>(C282*D282)+(C293*D293)+(C304*D304)+(C308*D308)+(C315*D315)</f>
        <v>0.313181</v>
      </c>
    </row>
    <row r="283">
      <c r="H283" t="str">
        <v>Rule of law index</v>
      </c>
      <c r="I283">
        <v>0.17</v>
      </c>
      <c r="J283">
        <v>0.5</v>
      </c>
    </row>
    <row r="284">
      <c r="H284" t="str">
        <v>Civil rights</v>
      </c>
      <c r="I284">
        <f>2.35</f>
        <v>0.235</v>
      </c>
      <c r="J284">
        <v>0.15</v>
      </c>
    </row>
    <row r="285">
      <c r="H285" t="str">
        <v>Access to justice</v>
      </c>
      <c r="I285">
        <v>0.33</v>
      </c>
      <c r="J285">
        <v>0.2</v>
      </c>
    </row>
    <row r="286">
      <c r="E286" t="str">
        <v>Separation of powers</v>
      </c>
      <c r="F286">
        <f>(J286*I286)+(I287*J287)</f>
        <v>0.255</v>
      </c>
      <c r="G286">
        <v>0.25</v>
      </c>
      <c r="H286" t="str">
        <v>Separations of power</v>
      </c>
      <c r="I286">
        <f>3/10</f>
        <v>0.3</v>
      </c>
      <c r="J286">
        <v>0.7</v>
      </c>
    </row>
    <row r="287">
      <c r="H287" t="str">
        <v>High court independence</v>
      </c>
      <c r="I287">
        <f>0.6/4</f>
        <v>0.15</v>
      </c>
      <c r="J287">
        <v>0.3</v>
      </c>
    </row>
    <row r="288">
      <c r="E288" t="str">
        <v>Accountability</v>
      </c>
      <c r="F288">
        <f>(J288*I288)+(I289*J289)+(I290*J290)</f>
        <v>0.352135</v>
      </c>
      <c r="G288">
        <v>0.3</v>
      </c>
      <c r="H288" t="str">
        <v>Control of corruption</v>
      </c>
      <c r="I288">
        <f>20.61/100</f>
        <v>0.2061</v>
      </c>
      <c r="J288">
        <v>0.35</v>
      </c>
    </row>
    <row r="289">
      <c r="H289" t="str">
        <v>Corruption perceptions index (2024)</v>
      </c>
      <c r="I289">
        <f>21/100</f>
        <v>0.21</v>
      </c>
      <c r="J289">
        <v>0.3</v>
      </c>
    </row>
    <row r="290">
      <c r="H290" t="str">
        <v>Diagonal accountability index</v>
      </c>
      <c r="I290">
        <v>0.62</v>
      </c>
      <c r="J290">
        <v>0.35</v>
      </c>
    </row>
    <row r="291">
      <c r="E291" t="str">
        <v>Transparency</v>
      </c>
      <c r="F291">
        <f>(J291*I291)+(I292*J292)</f>
        <v>0.09</v>
      </c>
      <c r="G291">
        <v>0.15</v>
      </c>
      <c r="H291" t="str">
        <v>Open government index</v>
      </c>
      <c r="J291">
        <v>0.6</v>
      </c>
    </row>
    <row r="292">
      <c r="H292" t="str">
        <v>Government censorship effort</v>
      </c>
      <c r="I292">
        <f>0.9/4</f>
        <v>0.225</v>
      </c>
      <c r="J292">
        <v>0.4</v>
      </c>
    </row>
    <row r="293">
      <c r="B293" t="str">
        <v>Socio-economic development</v>
      </c>
      <c r="C293">
        <f>(G293*F293)+(F297*G297)+(F301*G301)</f>
        <v>0.4351875</v>
      </c>
      <c r="D293">
        <v>0.2</v>
      </c>
      <c r="E293" t="str">
        <v>Welfare Frameworks</v>
      </c>
      <c r="F293">
        <f>(J293*I293)+(J294*I294)+(J295*I295)+(J296*I296)</f>
        <v>0.29775</v>
      </c>
      <c r="G293">
        <v>0.35</v>
      </c>
      <c r="H293" t="str">
        <v>Social safety nets</v>
      </c>
      <c r="I293">
        <f>4/10</f>
        <v>0.4</v>
      </c>
      <c r="J293">
        <v>0.3</v>
      </c>
    </row>
    <row r="294">
      <c r="H294" t="str">
        <v>Educational equality</v>
      </c>
      <c r="I294">
        <f>1.22/4</f>
        <v>0.305</v>
      </c>
      <c r="J294">
        <v>0.2</v>
      </c>
    </row>
    <row r="295">
      <c r="H295" t="str">
        <v>Health equality</v>
      </c>
      <c r="I295">
        <f>1/4</f>
        <v>0.25</v>
      </c>
      <c r="J295">
        <v>0.2</v>
      </c>
    </row>
    <row r="296">
      <c r="H296" t="str">
        <v>Access to public services by socio-economic position (2023)</v>
      </c>
      <c r="I296">
        <f>0.89/4</f>
        <v>0.2225</v>
      </c>
      <c r="J296">
        <v>0.3</v>
      </c>
    </row>
    <row r="297">
      <c r="E297" t="str">
        <v>Living Standards</v>
      </c>
      <c r="F297">
        <f>(J297*I297)+(J298*I298)+(J299*I299)</f>
        <v>0.5265</v>
      </c>
      <c r="G297">
        <v>0.4</v>
      </c>
      <c r="H297" t="str">
        <v>HDI</v>
      </c>
      <c r="I297">
        <v>0.514</v>
      </c>
      <c r="J297">
        <v>0.5</v>
      </c>
    </row>
    <row r="298">
      <c r="H298" t="str">
        <v>Infant mortality rate (inverted)</v>
      </c>
      <c r="I298">
        <v>0.58</v>
      </c>
      <c r="J298">
        <v>0.3</v>
      </c>
    </row>
    <row r="299">
      <c r="H299" t="str">
        <v>Freedom of academic &amp; cultural expression</v>
      </c>
      <c r="I299">
        <f>1.91/4</f>
        <v>0.4775</v>
      </c>
      <c r="J299">
        <v>0.2</v>
      </c>
    </row>
    <row r="301">
      <c r="E301" t="str">
        <v>Distribution of Resources</v>
      </c>
      <c r="F301">
        <f>(J301*I301)+(I302*J302)+(I303*J303)</f>
        <v>0.4815</v>
      </c>
      <c r="G301">
        <v>0.25</v>
      </c>
      <c r="H301" t="str">
        <v>Gini Coefficient (inverted) (2021)</v>
      </c>
      <c r="I301">
        <f>(100-33.4)/100</f>
        <v>0.666</v>
      </c>
      <c r="J301">
        <v>0.25</v>
      </c>
    </row>
    <row r="302">
      <c r="H302" t="str">
        <v>Power distributed by socioeconomic position</v>
      </c>
      <c r="I302">
        <f>1.53/4</f>
        <v>0.3825</v>
      </c>
      <c r="J302">
        <v>0.5</v>
      </c>
    </row>
    <row r="303">
      <c r="H303" t="str">
        <v>Poverty headcount ratio (inverted) (2021)</v>
      </c>
      <c r="I303">
        <f>(100-50.5)/100</f>
        <v>0.495</v>
      </c>
      <c r="J303">
        <v>0.25</v>
      </c>
    </row>
    <row r="304">
      <c r="B304" t="str">
        <v>Responsiveness</v>
      </c>
      <c r="C304">
        <f>(G304*F304)+(F306*G306)</f>
        <v>0.2252</v>
      </c>
      <c r="D304">
        <v>0.2</v>
      </c>
      <c r="E304" t="str">
        <v>Discourse</v>
      </c>
      <c r="F304">
        <f>(J304*I304)+(I305*J305)</f>
        <v>0.256</v>
      </c>
      <c r="G304">
        <v>0.45</v>
      </c>
      <c r="H304" t="str">
        <v>Deliberative component index</v>
      </c>
      <c r="I304">
        <v>0.32</v>
      </c>
      <c r="J304">
        <v>0.6</v>
      </c>
    </row>
    <row r="305">
      <c r="H305" t="str">
        <v>Reasoned justification</v>
      </c>
      <c r="I305">
        <f>0.48/3</f>
        <v>0.16</v>
      </c>
      <c r="J305">
        <v>0.4</v>
      </c>
    </row>
    <row r="306">
      <c r="E306" t="str">
        <v>Policies and legitimacy</v>
      </c>
      <c r="F306">
        <f>(J306*I306)+(I307*J307)</f>
        <v>0.2</v>
      </c>
      <c r="G306">
        <v>0.55</v>
      </c>
      <c r="H306" t="str">
        <v>Steering Capability</v>
      </c>
      <c r="I306">
        <f>((4+3+3)/3)/10</f>
        <v>0.3333333333</v>
      </c>
      <c r="J306">
        <v>0.6</v>
      </c>
    </row>
    <row r="307">
      <c r="H307" t="str">
        <v>Approval of democracy (n/a)</v>
      </c>
      <c r="J307">
        <v>0.4</v>
      </c>
    </row>
    <row r="308">
      <c r="B308" t="str">
        <v>Electoral Integrity</v>
      </c>
      <c r="C308">
        <f>(F308*G308)+(F312*G312)</f>
        <v>0.49144375</v>
      </c>
      <c r="D308">
        <v>0.2</v>
      </c>
      <c r="E308" t="str">
        <v>Free and fair elections</v>
      </c>
      <c r="F308">
        <f>(J308*I308)+(J309*I309)+(J310*I310)+(J311*I311)</f>
        <v>0.416125</v>
      </c>
      <c r="G308">
        <v>0.55</v>
      </c>
      <c r="H308" t="str">
        <v>Clean elections index</v>
      </c>
      <c r="I308">
        <v>0</v>
      </c>
      <c r="J308">
        <v>0.35</v>
      </c>
    </row>
    <row r="309">
      <c r="H309" t="str">
        <v>Election free and fair</v>
      </c>
      <c r="I309">
        <f>1.76/4</f>
        <v>0.44</v>
      </c>
      <c r="J309">
        <v>0.35</v>
      </c>
    </row>
    <row r="310">
      <c r="H310" t="str">
        <v>Opposition parties autonomy</v>
      </c>
      <c r="I310">
        <f>2.99/4</f>
        <v>0.7475</v>
      </c>
      <c r="J310">
        <v>0.15</v>
      </c>
    </row>
    <row r="311">
      <c r="H311" t="str">
        <v>Share of population with suffrage</v>
      </c>
      <c r="I311">
        <v>1</v>
      </c>
      <c r="J311">
        <v>0.15</v>
      </c>
    </row>
    <row r="312">
      <c r="E312" t="str">
        <v>Peaceful transition of power</v>
      </c>
      <c r="F312">
        <f>(J312*I312)+(I313*J313)+(I314*J314)</f>
        <v>0.5835</v>
      </c>
      <c r="G312">
        <v>0.45</v>
      </c>
      <c r="H312" t="str">
        <v>Election other electoral violence</v>
      </c>
      <c r="I312">
        <f>3.44/4</f>
        <v>0.86</v>
      </c>
      <c r="J312">
        <v>0.3</v>
      </c>
    </row>
    <row r="313">
      <c r="H313" t="str">
        <v>Election losers accept results</v>
      </c>
      <c r="I313">
        <f>1.18/4</f>
        <v>0.295</v>
      </c>
      <c r="J313">
        <v>0.3</v>
      </c>
    </row>
    <row r="314">
      <c r="H314" t="str">
        <v>Election government intimidation</v>
      </c>
      <c r="I314">
        <f>2.37/4</f>
        <v>0.5925</v>
      </c>
      <c r="J314">
        <v>0.4</v>
      </c>
    </row>
    <row r="315">
      <c r="B315" t="str">
        <v>Democratic memory</v>
      </c>
      <c r="C315">
        <f>(F315*G315)+(F317*G317)</f>
        <v>0.016</v>
      </c>
      <c r="D315">
        <v>0.1</v>
      </c>
      <c r="E315" t="str">
        <v>Reparations</v>
      </c>
      <c r="F315">
        <f>(J315*I315)+(I316*J316)</f>
        <v>0</v>
      </c>
      <c r="G315">
        <v>0.6</v>
      </c>
      <c r="H315" t="str">
        <v>Truth commission</v>
      </c>
      <c r="I315">
        <v>0</v>
      </c>
      <c r="J315">
        <v>0.5</v>
      </c>
    </row>
    <row r="316">
      <c r="H316" t="str">
        <v>Reparatory policies</v>
      </c>
      <c r="I316">
        <v>0</v>
      </c>
      <c r="J316">
        <v>0.5</v>
      </c>
    </row>
    <row r="317">
      <c r="E317" t="str">
        <v>Legal</v>
      </c>
      <c r="F317">
        <f>(J317*I317)+(I318*J318)</f>
        <v>0.04</v>
      </c>
      <c r="G317">
        <v>0.4</v>
      </c>
      <c r="H317" t="str">
        <v>Amnesty law</v>
      </c>
      <c r="I317">
        <v>0</v>
      </c>
      <c r="J317">
        <v>0.6</v>
      </c>
    </row>
    <row r="318">
      <c r="H318" t="str">
        <v>Domestic trials</v>
      </c>
      <c r="I318">
        <v>0.1</v>
      </c>
      <c r="J318">
        <v>0.4</v>
      </c>
    </row>
    <row r="321">
      <c r="A321" t="str">
        <v>State</v>
      </c>
      <c r="B321" t="str">
        <v>Variable</v>
      </c>
      <c r="C321" t="str">
        <v>SCORE VAR</v>
      </c>
      <c r="D321" t="str">
        <v>% VAR</v>
      </c>
      <c r="E321" t="str">
        <v>Dimension</v>
      </c>
      <c r="F321" t="str">
        <v>SCORE DIM</v>
      </c>
      <c r="G321" t="str">
        <v>% DIM</v>
      </c>
      <c r="H321" t="str">
        <v>Indicator</v>
      </c>
      <c r="I321" t="str">
        <v>SCORE IND</v>
      </c>
      <c r="J321" t="str">
        <v>% IND</v>
      </c>
      <c r="K321" t="str">
        <v>TOTAL INDEX</v>
      </c>
    </row>
    <row r="322">
      <c r="A322" t="str">
        <v>Liberia</v>
      </c>
      <c r="B322" t="str">
        <v>Institutional Integrity</v>
      </c>
      <c r="C322">
        <f>(G322*F322)+(G326*F326)+(G328*F328)+(G331*F331)</f>
        <v>0.540825</v>
      </c>
      <c r="D322">
        <v>0.3</v>
      </c>
      <c r="E322" t="str">
        <v>Rule of Law</v>
      </c>
      <c r="F322">
        <f>(J322*I322)+(J323*I323)+(J324*I324)+(J325*I325)</f>
        <v>0.51335</v>
      </c>
      <c r="G322">
        <v>0.3</v>
      </c>
      <c r="H322" t="str">
        <v>Equal protection index</v>
      </c>
      <c r="I322">
        <v>0.69</v>
      </c>
      <c r="J322">
        <v>0.15</v>
      </c>
      <c r="K322">
        <f>(C322*D322)+(C333*D333)+(C344*D344)+(C348*D348)+(C355*D355)</f>
        <v>0.5840325</v>
      </c>
    </row>
    <row r="323">
      <c r="H323" t="str">
        <v>Rule of law index</v>
      </c>
      <c r="I323">
        <v>0.36</v>
      </c>
      <c r="J323">
        <v>0.5</v>
      </c>
    </row>
    <row r="324">
      <c r="H324" t="str">
        <v>Civil rights</v>
      </c>
      <c r="I324">
        <f>5.59/10</f>
        <v>0.559</v>
      </c>
      <c r="J324">
        <v>0.15</v>
      </c>
    </row>
    <row r="325">
      <c r="H325" t="str">
        <v>Access to justice</v>
      </c>
      <c r="I325">
        <v>0.73</v>
      </c>
      <c r="J325">
        <v>0.2</v>
      </c>
    </row>
    <row r="326">
      <c r="E326" t="str">
        <v>Separation of powers</v>
      </c>
      <c r="F326">
        <f>(J326*I326)+(I327*J327)</f>
        <v>0.66375</v>
      </c>
      <c r="G326">
        <v>0.25</v>
      </c>
      <c r="H326" t="str">
        <v>Separations of power</v>
      </c>
      <c r="I326">
        <f>6/10</f>
        <v>0.6</v>
      </c>
      <c r="J326">
        <v>0.7</v>
      </c>
    </row>
    <row r="327">
      <c r="H327" t="str">
        <v>High court independence</v>
      </c>
      <c r="I327">
        <f>3.25/4</f>
        <v>0.8125</v>
      </c>
      <c r="J327">
        <v>0.3</v>
      </c>
    </row>
    <row r="328">
      <c r="E328" t="str">
        <v>Accountability</v>
      </c>
      <c r="F328">
        <f>(J328*I328)+(I329*J329)+(I330*J330)</f>
        <v>0.478775</v>
      </c>
      <c r="G328">
        <v>0.3</v>
      </c>
      <c r="H328" t="str">
        <v>Control of corruption</v>
      </c>
      <c r="I328">
        <f>26.65/100</f>
        <v>0.2665</v>
      </c>
      <c r="J328">
        <v>0.35</v>
      </c>
    </row>
    <row r="329">
      <c r="H329" t="str">
        <v>Corruption perceptions index (2024)</v>
      </c>
      <c r="I329">
        <f>27/100</f>
        <v>0.27</v>
      </c>
      <c r="J329">
        <v>0.3</v>
      </c>
    </row>
    <row r="330">
      <c r="H330" t="str">
        <v>Diagonal accountability index</v>
      </c>
      <c r="I330">
        <v>0.87</v>
      </c>
      <c r="J330">
        <v>0.35</v>
      </c>
    </row>
    <row r="331">
      <c r="E331" t="str">
        <v>Transparency</v>
      </c>
      <c r="F331">
        <f>(J331*I331)+(I332*J332)</f>
        <v>0.515</v>
      </c>
      <c r="G331">
        <v>0.15</v>
      </c>
      <c r="H331" t="str">
        <v>Open government index</v>
      </c>
      <c r="I331">
        <v>0.46</v>
      </c>
      <c r="J331">
        <v>0.6</v>
      </c>
    </row>
    <row r="332">
      <c r="H332" t="str">
        <v>Government censorship effort</v>
      </c>
      <c r="I332">
        <f>2.39/4</f>
        <v>0.5975</v>
      </c>
      <c r="J332">
        <v>0.4</v>
      </c>
    </row>
    <row r="333">
      <c r="B333" t="str">
        <v>Socio-economic development</v>
      </c>
      <c r="C333">
        <f>(G333*F333)+(F337*G337)+(F341*G341)</f>
        <v>0.4516</v>
      </c>
      <c r="D333">
        <v>0.2</v>
      </c>
      <c r="E333" t="str">
        <v>Welfare Frameworks</v>
      </c>
      <c r="F333">
        <f>(J333*I333)+(J334*I334)+(J335*I335)+(J336*I336)</f>
        <v>0.24775</v>
      </c>
      <c r="G333">
        <v>0.35</v>
      </c>
      <c r="H333" t="str">
        <v>Social safety nets</v>
      </c>
      <c r="I333">
        <f>3/10</f>
        <v>0.3</v>
      </c>
      <c r="J333">
        <v>0.3</v>
      </c>
    </row>
    <row r="334">
      <c r="H334" t="str">
        <v>Educational equality</v>
      </c>
      <c r="I334">
        <f>1.37/4</f>
        <v>0.3425</v>
      </c>
      <c r="J334">
        <v>0.2</v>
      </c>
    </row>
    <row r="335">
      <c r="H335" t="str">
        <v>Health equality</v>
      </c>
      <c r="I335">
        <f>0.87/4</f>
        <v>0.2175</v>
      </c>
      <c r="J335">
        <v>0.2</v>
      </c>
    </row>
    <row r="336">
      <c r="H336" t="str">
        <v>Access to public services by socio-economic position (2023)</v>
      </c>
      <c r="I336">
        <f>0.61/4</f>
        <v>0.1525</v>
      </c>
      <c r="J336">
        <v>0.3</v>
      </c>
    </row>
    <row r="337">
      <c r="E337" t="str">
        <v>Living Standards</v>
      </c>
      <c r="F337">
        <f>(J337*I337)+(J338*I338)+(J339*I339)</f>
        <v>0.5305</v>
      </c>
      <c r="G337">
        <v>0.4</v>
      </c>
      <c r="H337" t="str">
        <v>HDI</v>
      </c>
      <c r="I337">
        <v>0.51</v>
      </c>
      <c r="J337">
        <v>0.5</v>
      </c>
    </row>
    <row r="338">
      <c r="H338" t="str">
        <v>Infant mortality rate (inverted)</v>
      </c>
      <c r="I338">
        <v>0.37</v>
      </c>
      <c r="J338">
        <v>0.3</v>
      </c>
    </row>
    <row r="339">
      <c r="H339" t="str">
        <v>Freedom of academic &amp; cultural expression</v>
      </c>
      <c r="I339">
        <f>3.29/4</f>
        <v>0.8225</v>
      </c>
      <c r="J339">
        <v>0.2</v>
      </c>
    </row>
    <row r="341">
      <c r="E341" t="str">
        <v>Distribution of Resources</v>
      </c>
      <c r="F341">
        <f>(J341*I341)+(I342*J342)+(I343*J343)</f>
        <v>0.61075</v>
      </c>
      <c r="G341">
        <v>0.25</v>
      </c>
      <c r="H341" t="str">
        <v>Gini Coefficient (inverted) (2016)</v>
      </c>
      <c r="I341">
        <f>(100-35.3)/100</f>
        <v>0.647</v>
      </c>
      <c r="J341">
        <v>0.25</v>
      </c>
    </row>
    <row r="342">
      <c r="H342" t="str">
        <v>Power distributed by socioeconomic position</v>
      </c>
      <c r="I342">
        <f>2.61/4</f>
        <v>0.6525</v>
      </c>
      <c r="J342">
        <v>0.5</v>
      </c>
    </row>
    <row r="343">
      <c r="H343" t="str">
        <v>Poverty headcount ratio (inverted) (2016)</v>
      </c>
      <c r="I343">
        <f>(100-50.9)/100</f>
        <v>0.491</v>
      </c>
      <c r="J343">
        <v>0.25</v>
      </c>
    </row>
    <row r="344">
      <c r="B344" t="str">
        <v>Responsiveness</v>
      </c>
      <c r="C344">
        <f>(G344*F344)+(F346*G346)</f>
        <v>0.6513</v>
      </c>
      <c r="D344">
        <v>0.2</v>
      </c>
      <c r="E344" t="str">
        <v>Discourse</v>
      </c>
      <c r="F344">
        <f>(J344*I344)+(I345*J345)</f>
        <v>0.7873333333</v>
      </c>
      <c r="G344">
        <v>0.45</v>
      </c>
      <c r="H344" t="str">
        <v>Deliberative component index</v>
      </c>
      <c r="I344">
        <v>0.81</v>
      </c>
      <c r="J344">
        <v>0.6</v>
      </c>
    </row>
    <row r="345">
      <c r="H345" t="str">
        <v>Reasoned justification</v>
      </c>
      <c r="I345">
        <f>2.26/3</f>
        <v>0.7533333333</v>
      </c>
      <c r="J345">
        <v>0.4</v>
      </c>
    </row>
    <row r="346">
      <c r="E346" t="str">
        <v>Policies and legitimacy</v>
      </c>
      <c r="F346">
        <f>(J346*I346)+(I347*J347)</f>
        <v>0.54</v>
      </c>
      <c r="G346">
        <v>0.55</v>
      </c>
      <c r="H346" t="str">
        <v>Steering Capability</v>
      </c>
      <c r="I346">
        <f>((5+4+4)/3)/10</f>
        <v>0.4333333333</v>
      </c>
      <c r="J346">
        <v>0.6</v>
      </c>
    </row>
    <row r="347">
      <c r="H347" t="str">
        <v>Approval of democracy</v>
      </c>
      <c r="I347">
        <f>7/10</f>
        <v>0.7</v>
      </c>
      <c r="J347">
        <v>0.4</v>
      </c>
    </row>
    <row r="348">
      <c r="B348" t="str">
        <v>Electoral Integrity</v>
      </c>
      <c r="C348">
        <f>(F348*G348)+(F352*G352)</f>
        <v>0.783225</v>
      </c>
      <c r="D348">
        <v>0.2</v>
      </c>
      <c r="E348" t="str">
        <v>Free and fair elections</v>
      </c>
      <c r="F348">
        <f>(J348*I348)+(J349*I349)+(J350*I350)+(J351*I351)</f>
        <v>0.7695</v>
      </c>
      <c r="G348">
        <v>0.55</v>
      </c>
      <c r="H348" t="str">
        <v>Clean elections index</v>
      </c>
      <c r="I348">
        <v>0.59</v>
      </c>
      <c r="J348">
        <v>0.35</v>
      </c>
    </row>
    <row r="349">
      <c r="H349" t="str">
        <v>Election free and fair</v>
      </c>
      <c r="I349">
        <f>3.22/4</f>
        <v>0.805</v>
      </c>
      <c r="J349">
        <v>0.35</v>
      </c>
    </row>
    <row r="350">
      <c r="H350" t="str">
        <v>Opposition parties autonomy</v>
      </c>
      <c r="I350">
        <f>3.5/4</f>
        <v>0.875</v>
      </c>
      <c r="J350">
        <v>0.15</v>
      </c>
    </row>
    <row r="351">
      <c r="H351" t="str">
        <v>Share of population with suffrage</v>
      </c>
      <c r="I351">
        <v>1</v>
      </c>
      <c r="J351">
        <v>0.15</v>
      </c>
    </row>
    <row r="352">
      <c r="E352" t="str">
        <v>Peaceful transition of power</v>
      </c>
      <c r="F352">
        <f>(J352*I352)+(I353*J353)+(I354*J354)</f>
        <v>0.8</v>
      </c>
      <c r="G352">
        <v>0.45</v>
      </c>
      <c r="H352" t="str">
        <v>Election other electoral violence</v>
      </c>
      <c r="I352">
        <f>2.63/4</f>
        <v>0.6575</v>
      </c>
      <c r="J352">
        <v>0.3</v>
      </c>
    </row>
    <row r="353">
      <c r="H353" t="str">
        <v>Election losers accept results</v>
      </c>
      <c r="I353">
        <f>3.97/4</f>
        <v>0.9925</v>
      </c>
      <c r="J353">
        <v>0.3</v>
      </c>
    </row>
    <row r="354">
      <c r="H354" t="str">
        <v>Election government intimidation</v>
      </c>
      <c r="I354">
        <f>3.05/4</f>
        <v>0.7625</v>
      </c>
      <c r="J354">
        <v>0.4</v>
      </c>
    </row>
    <row r="355">
      <c r="B355" t="str">
        <v>Democratic memory</v>
      </c>
      <c r="C355">
        <f>(F355*G355)+(F357*G357)</f>
        <v>0.4456</v>
      </c>
      <c r="D355">
        <v>0.1</v>
      </c>
      <c r="E355" t="str">
        <v>Reparations</v>
      </c>
      <c r="F355">
        <f>(J355*I355)+(I356*J356)</f>
        <v>0.5</v>
      </c>
      <c r="G355">
        <v>0.6</v>
      </c>
      <c r="H355" t="str">
        <v>Truth commission</v>
      </c>
      <c r="I355">
        <v>1</v>
      </c>
      <c r="J355">
        <v>0.5</v>
      </c>
    </row>
    <row r="356">
      <c r="H356" t="str">
        <v>Reparatory policies</v>
      </c>
      <c r="I356">
        <v>0</v>
      </c>
      <c r="J356">
        <v>0.5</v>
      </c>
    </row>
    <row r="357">
      <c r="E357" t="str">
        <v>Legal</v>
      </c>
      <c r="F357">
        <f>(J357*I357)+(I358*J358)</f>
        <v>0.364</v>
      </c>
      <c r="G357">
        <v>0.4</v>
      </c>
      <c r="H357" t="str">
        <v>Amnesty law</v>
      </c>
      <c r="I357">
        <v>0.5</v>
      </c>
      <c r="J357">
        <v>0.6</v>
      </c>
    </row>
    <row r="358">
      <c r="H358" t="str">
        <v>Domestic trials</v>
      </c>
      <c r="I358">
        <v>0.16</v>
      </c>
      <c r="J358">
        <v>0.4</v>
      </c>
    </row>
    <row r="361">
      <c r="A361" t="str">
        <v>State</v>
      </c>
      <c r="B361" t="str">
        <v>Variable</v>
      </c>
      <c r="C361" t="str">
        <v>SCORE VAR</v>
      </c>
      <c r="D361" t="str">
        <v>% VAR</v>
      </c>
      <c r="E361" t="str">
        <v>Dimension</v>
      </c>
      <c r="F361" t="str">
        <v>SCORE DIM</v>
      </c>
      <c r="G361" t="str">
        <v>% DIM</v>
      </c>
      <c r="H361" t="str">
        <v>Indicator</v>
      </c>
      <c r="I361" t="str">
        <v>SCORE IND</v>
      </c>
      <c r="J361" t="str">
        <v>% IND</v>
      </c>
      <c r="K361" t="str">
        <v>TOTAL INDEX</v>
      </c>
    </row>
    <row r="362">
      <c r="A362" t="str">
        <v>Mali</v>
      </c>
      <c r="B362" t="str">
        <v>Institutional Integrity</v>
      </c>
      <c r="C362">
        <f>(G362*F362)+(G366*F366)+(G368*F368)+(G371*F371)</f>
        <v>0.39481</v>
      </c>
      <c r="D362">
        <v>0.3</v>
      </c>
      <c r="E362" t="str">
        <v>Rule of Law</v>
      </c>
      <c r="F362">
        <f>(J362*I362)+(J363*I363)+(J364*I364)+(J365*I365)</f>
        <v>0.48195</v>
      </c>
      <c r="G362">
        <v>0.3</v>
      </c>
      <c r="H362" t="str">
        <v>Equal protection index</v>
      </c>
      <c r="I362">
        <v>0.82</v>
      </c>
      <c r="J362">
        <v>0.15</v>
      </c>
      <c r="K362">
        <f>(C362*D362)+(C373*D373)+(C384*D384)+(C388*D388)+(C395*D395)</f>
        <v>0.466508</v>
      </c>
    </row>
    <row r="363">
      <c r="H363" t="str">
        <v>Rule of law index</v>
      </c>
      <c r="I363">
        <v>0.42</v>
      </c>
      <c r="J363">
        <v>0.5</v>
      </c>
    </row>
    <row r="364">
      <c r="H364" t="str">
        <v>Civil rights</v>
      </c>
      <c r="I364">
        <f>3.53/10</f>
        <v>0.353</v>
      </c>
      <c r="J364">
        <v>0.15</v>
      </c>
    </row>
    <row r="365">
      <c r="H365" t="str">
        <v>Access to justice</v>
      </c>
      <c r="I365">
        <v>0.48</v>
      </c>
      <c r="J365">
        <v>0.2</v>
      </c>
    </row>
    <row r="366">
      <c r="E366" t="str">
        <v>Separation of powers</v>
      </c>
      <c r="F366">
        <f>(J366*I366)+(I367*J367)</f>
        <v>0.3055</v>
      </c>
      <c r="G366">
        <v>0.25</v>
      </c>
      <c r="H366" t="str">
        <v>Separations of power</v>
      </c>
      <c r="I366">
        <f>1/10</f>
        <v>0.1</v>
      </c>
      <c r="J366">
        <v>0.7</v>
      </c>
    </row>
    <row r="367">
      <c r="H367" t="str">
        <v>High court independence</v>
      </c>
      <c r="I367">
        <f>3.14/4</f>
        <v>0.785</v>
      </c>
      <c r="J367">
        <v>0.3</v>
      </c>
    </row>
    <row r="368">
      <c r="E368" t="str">
        <v>Accountability</v>
      </c>
      <c r="F368">
        <f>(J368*I368)+(I369*J369)+(I370*J370)</f>
        <v>0.375</v>
      </c>
      <c r="G368">
        <v>0.3</v>
      </c>
      <c r="H368" t="str">
        <v>Control of corruption</v>
      </c>
      <c r="I368">
        <f>28/100</f>
        <v>0.28</v>
      </c>
      <c r="J368">
        <v>0.35</v>
      </c>
    </row>
    <row r="369">
      <c r="H369" t="str">
        <v>Corruption perceptions index (2024)</v>
      </c>
      <c r="I369">
        <f>27/100</f>
        <v>0.27</v>
      </c>
      <c r="J369">
        <v>0.3</v>
      </c>
    </row>
    <row r="370">
      <c r="H370" t="str">
        <v>Diagonal accountability index</v>
      </c>
      <c r="I370">
        <v>0.56</v>
      </c>
      <c r="J370">
        <v>0.35</v>
      </c>
    </row>
    <row r="371">
      <c r="E371" t="str">
        <v>Transparency</v>
      </c>
      <c r="F371">
        <f>(J371*I371)+(I372*J372)</f>
        <v>0.409</v>
      </c>
      <c r="G371">
        <v>0.15</v>
      </c>
      <c r="H371" t="str">
        <v>Open government index</v>
      </c>
      <c r="I371">
        <v>0.43</v>
      </c>
      <c r="J371">
        <v>0.6</v>
      </c>
    </row>
    <row r="372">
      <c r="H372" t="str">
        <v>Government censorship effort</v>
      </c>
      <c r="I372">
        <f>1.51/4</f>
        <v>0.3775</v>
      </c>
      <c r="J372">
        <v>0.4</v>
      </c>
    </row>
    <row r="373">
      <c r="B373" t="str">
        <v>Socio-economic development</v>
      </c>
      <c r="C373">
        <f>(G373*F373)+(F377*G377)+(F381*G381)</f>
        <v>0.459275</v>
      </c>
      <c r="D373">
        <v>0.2</v>
      </c>
      <c r="E373" t="str">
        <v>Welfare Frameworks</v>
      </c>
      <c r="F373">
        <f>(J373*I373)+(J374*I374)+(J375*I375)+(J376*I376)</f>
        <v>0.2345</v>
      </c>
      <c r="G373">
        <v>0.35</v>
      </c>
      <c r="H373" t="str">
        <v>Social safety nets</v>
      </c>
      <c r="I373">
        <f>4/10</f>
        <v>0.4</v>
      </c>
      <c r="J373">
        <v>0.3</v>
      </c>
    </row>
    <row r="374">
      <c r="H374" t="str">
        <v>Educational equality</v>
      </c>
      <c r="I374">
        <f>0.69/4</f>
        <v>0.1725</v>
      </c>
      <c r="J374">
        <v>0.2</v>
      </c>
    </row>
    <row r="375">
      <c r="H375" t="str">
        <v>Health equality</v>
      </c>
      <c r="I375">
        <f>0.52/4</f>
        <v>0.13</v>
      </c>
      <c r="J375">
        <v>0.2</v>
      </c>
    </row>
    <row r="376">
      <c r="H376" t="str">
        <v>Access to public services by socio-economic position (2023)</v>
      </c>
      <c r="I376">
        <f>0.72/4</f>
        <v>0.18</v>
      </c>
      <c r="J376">
        <v>0.3</v>
      </c>
    </row>
    <row r="377">
      <c r="E377" t="str">
        <v>Living Standards</v>
      </c>
      <c r="F377">
        <f>(J377*I377)+(J378*I378)+(J379*I379)</f>
        <v>0.523</v>
      </c>
      <c r="G377">
        <v>0.4</v>
      </c>
      <c r="H377" t="str">
        <v>HDI</v>
      </c>
      <c r="I377">
        <v>0.419</v>
      </c>
      <c r="J377">
        <v>0.5</v>
      </c>
    </row>
    <row r="378">
      <c r="H378" t="str">
        <v>Infant mortality rate (inverted)</v>
      </c>
      <c r="I378">
        <v>0.52</v>
      </c>
      <c r="J378">
        <v>0.3</v>
      </c>
    </row>
    <row r="379">
      <c r="H379" t="str">
        <v>Freedom of academic &amp; cultural expression</v>
      </c>
      <c r="I379">
        <f>3.15/4</f>
        <v>0.7875</v>
      </c>
      <c r="J379">
        <v>0.2</v>
      </c>
    </row>
    <row r="381">
      <c r="E381" t="str">
        <v>Distribution of Resources</v>
      </c>
      <c r="F381">
        <f>(J381*I381)+(I382*J382)+(I383*J383)</f>
        <v>0.672</v>
      </c>
      <c r="G381">
        <v>0.25</v>
      </c>
      <c r="H381" t="str">
        <v>Gini Coefficient (inverted) (2021)</v>
      </c>
      <c r="I381">
        <f>(100-35.7)/100</f>
        <v>0.643</v>
      </c>
      <c r="J381">
        <v>0.25</v>
      </c>
    </row>
    <row r="382">
      <c r="H382" t="str">
        <v>Power distributed by socioeconomic position</v>
      </c>
      <c r="I382">
        <f>3/4</f>
        <v>0.75</v>
      </c>
      <c r="J382">
        <v>0.5</v>
      </c>
    </row>
    <row r="383">
      <c r="H383" t="str">
        <v>Poverty headcount ratio (inverted) (2021)</v>
      </c>
      <c r="I383">
        <f>(100-45.5)/100</f>
        <v>0.545</v>
      </c>
      <c r="J383">
        <v>0.25</v>
      </c>
    </row>
    <row r="384">
      <c r="B384" t="str">
        <v>Responsiveness</v>
      </c>
      <c r="C384">
        <f>(G384*F384)+(F386*G386)</f>
        <v>0.3944</v>
      </c>
      <c r="D384">
        <v>0.2</v>
      </c>
      <c r="E384" t="str">
        <v>Discourse</v>
      </c>
      <c r="F384">
        <f>(J384*I384)+(I385*J385)</f>
        <v>0.632</v>
      </c>
      <c r="G384">
        <v>0.45</v>
      </c>
      <c r="H384" t="str">
        <v>Deliberative component index</v>
      </c>
      <c r="I384">
        <v>0.7</v>
      </c>
      <c r="J384">
        <v>0.6</v>
      </c>
    </row>
    <row r="385">
      <c r="H385" t="str">
        <v>Reasoned justification</v>
      </c>
      <c r="I385">
        <f>1.59/3</f>
        <v>0.53</v>
      </c>
      <c r="J385">
        <v>0.4</v>
      </c>
    </row>
    <row r="386">
      <c r="E386" t="str">
        <v>Policies and legitimacy</v>
      </c>
      <c r="F386">
        <f>(J386*I386)+(I387*J387)</f>
        <v>0.2</v>
      </c>
      <c r="G386">
        <v>0.55</v>
      </c>
      <c r="H386" t="str">
        <v>Steering Capability</v>
      </c>
      <c r="I386">
        <f>((4+3+3)/3)/10</f>
        <v>0.3333333333</v>
      </c>
      <c r="J386">
        <v>0.6</v>
      </c>
    </row>
    <row r="387">
      <c r="H387" t="str">
        <v>Approval of democracy (n/a)</v>
      </c>
      <c r="J387">
        <v>0.4</v>
      </c>
    </row>
    <row r="388">
      <c r="B388" t="str">
        <v>Electoral Integrity</v>
      </c>
      <c r="C388">
        <f>(F388*G388)+(F392*G392)</f>
        <v>0.61595</v>
      </c>
      <c r="D388">
        <v>0.2</v>
      </c>
      <c r="E388" t="str">
        <v>Free and fair elections</v>
      </c>
      <c r="F388">
        <f>(J388*I388)+(J389*I389)+(J390*I390)+(J391*I391)</f>
        <v>0.485</v>
      </c>
      <c r="G388">
        <v>0.55</v>
      </c>
      <c r="H388" t="str">
        <v>Clean elections index</v>
      </c>
      <c r="I388">
        <v>0</v>
      </c>
      <c r="J388">
        <v>0.35</v>
      </c>
    </row>
    <row r="389">
      <c r="H389" t="str">
        <v>Election free and fair (2020)</v>
      </c>
      <c r="I389">
        <f>2.41/4</f>
        <v>0.6025</v>
      </c>
      <c r="J389">
        <v>0.35</v>
      </c>
    </row>
    <row r="390">
      <c r="H390" t="str">
        <v>Opposition parties autonomy (2024)</v>
      </c>
      <c r="I390">
        <f>3.31/4</f>
        <v>0.8275</v>
      </c>
      <c r="J390">
        <v>0.15</v>
      </c>
    </row>
    <row r="391">
      <c r="H391" t="str">
        <v>Share of population with suffrage</v>
      </c>
      <c r="I391">
        <v>1</v>
      </c>
      <c r="J391">
        <v>0.15</v>
      </c>
    </row>
    <row r="392">
      <c r="E392" t="str">
        <v>Peaceful transition of power</v>
      </c>
      <c r="F392">
        <f>(J392*I392)+(I393*J393)+(I394*J394)</f>
        <v>0.776</v>
      </c>
      <c r="G392">
        <v>0.45</v>
      </c>
      <c r="H392" t="str">
        <v>Election other electoral violence (2020)</v>
      </c>
      <c r="I392">
        <f>2.45/4</f>
        <v>0.6125</v>
      </c>
      <c r="J392">
        <v>0.3</v>
      </c>
    </row>
    <row r="393">
      <c r="H393" t="str">
        <v>Election losers accept results (2020)</v>
      </c>
      <c r="I393">
        <f>2.79/4</f>
        <v>0.6975</v>
      </c>
      <c r="J393">
        <v>0.3</v>
      </c>
    </row>
    <row r="394">
      <c r="H394" t="str">
        <v>Election government intimidation (2020)</v>
      </c>
      <c r="I394">
        <f>3.83/4</f>
        <v>0.9575</v>
      </c>
      <c r="J394">
        <v>0.4</v>
      </c>
    </row>
    <row r="395">
      <c r="B395" t="str">
        <v>Democratic memory</v>
      </c>
      <c r="C395">
        <f>(F395*G395)+(F397*G397)</f>
        <v>0.5414</v>
      </c>
      <c r="D395">
        <v>0.1</v>
      </c>
      <c r="E395" t="str">
        <v>Reparations</v>
      </c>
      <c r="F395">
        <f>(J395*I395)+(I396*J396)</f>
        <v>0.665</v>
      </c>
      <c r="G395">
        <v>0.6</v>
      </c>
      <c r="H395" t="str">
        <v>Truth commission</v>
      </c>
      <c r="I395">
        <v>1</v>
      </c>
      <c r="J395">
        <v>0.5</v>
      </c>
    </row>
    <row r="396">
      <c r="H396" t="str">
        <v>Reparatory policies</v>
      </c>
      <c r="I396">
        <v>0.33</v>
      </c>
      <c r="J396">
        <v>0.5</v>
      </c>
    </row>
    <row r="397">
      <c r="E397" t="str">
        <v>Legal</v>
      </c>
      <c r="F397">
        <f>(J397*I397)+(I398*J398)</f>
        <v>0.356</v>
      </c>
      <c r="G397">
        <v>0.4</v>
      </c>
      <c r="H397" t="str">
        <v>Amnesty law</v>
      </c>
      <c r="I397">
        <v>0.5</v>
      </c>
      <c r="J397">
        <v>0.6</v>
      </c>
    </row>
    <row r="398">
      <c r="H398" t="str">
        <v>Domestic trials</v>
      </c>
      <c r="I398">
        <v>0.14</v>
      </c>
      <c r="J398">
        <v>0.4</v>
      </c>
    </row>
    <row r="400">
      <c r="A400" t="str">
        <v>State</v>
      </c>
      <c r="B400" t="str">
        <v>Variable</v>
      </c>
      <c r="C400" t="str">
        <v>SCORE VAR</v>
      </c>
      <c r="D400" t="str">
        <v>% VAR</v>
      </c>
      <c r="E400" t="str">
        <v>Dimension</v>
      </c>
      <c r="F400" t="str">
        <v>SCORE DIM</v>
      </c>
      <c r="G400" t="str">
        <v>% DIM</v>
      </c>
      <c r="H400" t="str">
        <v>Indicator</v>
      </c>
      <c r="I400" t="str">
        <v>SCORE IND</v>
      </c>
      <c r="J400" t="str">
        <v>% IND</v>
      </c>
      <c r="K400" t="str">
        <v>TOTAL INDEX</v>
      </c>
    </row>
    <row r="401">
      <c r="A401" t="str">
        <v>Mauritania</v>
      </c>
      <c r="B401" t="str">
        <v>Institutional Integrity</v>
      </c>
      <c r="C401">
        <f>(G401*F401)+(G405*F405)+(G407*F407)+(G410*F410)</f>
        <v>0.3164625</v>
      </c>
      <c r="D401">
        <v>0.3</v>
      </c>
      <c r="E401" t="str">
        <v>Rule of Law</v>
      </c>
      <c r="F401">
        <f>(J401*I401)+(J402*I402)+(J403*I403)+(J404*I404)</f>
        <v>0.2205</v>
      </c>
      <c r="G401">
        <v>0.3</v>
      </c>
      <c r="H401" t="str">
        <v>Equal protection index</v>
      </c>
      <c r="I401">
        <v>0.45</v>
      </c>
      <c r="J401">
        <v>0.15</v>
      </c>
      <c r="K401">
        <f>(C401*D401)+(C412*D412)+(C423*D423)+(C427*D427)+(C434*D434)</f>
        <v>0.3684525</v>
      </c>
    </row>
    <row r="402">
      <c r="H402" t="str">
        <v>Rule of law index</v>
      </c>
      <c r="I402">
        <v>0.12</v>
      </c>
      <c r="J402">
        <v>0.5</v>
      </c>
    </row>
    <row r="403">
      <c r="H403" t="str">
        <v>Civil rights</v>
      </c>
      <c r="I403">
        <f>5/10</f>
        <v>0.5</v>
      </c>
      <c r="J403">
        <v>0.15</v>
      </c>
    </row>
    <row r="404">
      <c r="H404" t="str">
        <v>Access to justice</v>
      </c>
      <c r="I404">
        <v>0.09</v>
      </c>
      <c r="J404">
        <v>0.2</v>
      </c>
    </row>
    <row r="405">
      <c r="E405" t="str">
        <v>Separation of powers</v>
      </c>
      <c r="F405">
        <f>(J405*I405)+(I406*J406)</f>
        <v>0.23025</v>
      </c>
      <c r="G405">
        <v>0.25</v>
      </c>
      <c r="H405" t="str">
        <v>Separations of power</v>
      </c>
      <c r="I405">
        <f>3/10</f>
        <v>0.3</v>
      </c>
      <c r="J405">
        <v>0.7</v>
      </c>
    </row>
    <row r="406">
      <c r="H406" t="str">
        <v>High court independence</v>
      </c>
      <c r="I406">
        <f>0.27/4</f>
        <v>0.0675</v>
      </c>
      <c r="J406">
        <v>0.3</v>
      </c>
    </row>
    <row r="407">
      <c r="E407" t="str">
        <v>Accountability</v>
      </c>
      <c r="F407">
        <f>(J407*I407)+(I408*J408)+(I409*J409)</f>
        <v>0.4295</v>
      </c>
      <c r="G407">
        <v>0.3</v>
      </c>
      <c r="H407" t="str">
        <v>Control of corruption</v>
      </c>
      <c r="I407">
        <f>29/100</f>
        <v>0.29</v>
      </c>
      <c r="J407">
        <v>0.35</v>
      </c>
    </row>
    <row r="408">
      <c r="H408" t="str">
        <v>Corruption perceptions index (2024)</v>
      </c>
      <c r="I408">
        <v>0.3</v>
      </c>
      <c r="J408">
        <v>0.3</v>
      </c>
    </row>
    <row r="409">
      <c r="H409" t="str">
        <v>Diagonal accountability index</v>
      </c>
      <c r="I409">
        <v>0.68</v>
      </c>
      <c r="J409">
        <v>0.35</v>
      </c>
    </row>
    <row r="410">
      <c r="E410" t="str">
        <v>Transparency</v>
      </c>
      <c r="F410">
        <f>(J410*I410)+(I411*J411)</f>
        <v>0.426</v>
      </c>
      <c r="G410">
        <v>0.15</v>
      </c>
      <c r="H410" t="str">
        <v>Open government index</v>
      </c>
      <c r="I410">
        <v>0.29</v>
      </c>
      <c r="J410">
        <v>0.6</v>
      </c>
    </row>
    <row r="411">
      <c r="H411" t="str">
        <v>Government censorship effort</v>
      </c>
      <c r="I411">
        <f>2.52/4</f>
        <v>0.63</v>
      </c>
      <c r="J411">
        <v>0.4</v>
      </c>
    </row>
    <row r="412">
      <c r="B412" t="str">
        <v>Socio-economic development</v>
      </c>
      <c r="C412">
        <f>(G412*F412)+(F416*G416)+(F420*G420)</f>
        <v>0.4493625</v>
      </c>
      <c r="D412">
        <v>0.2</v>
      </c>
      <c r="E412" t="str">
        <v>Welfare Frameworks</v>
      </c>
      <c r="F412">
        <f>(J412*I412)+(J413*I413)+(J414*I414)+(J415*I415)</f>
        <v>0.2555</v>
      </c>
      <c r="G412">
        <v>0.35</v>
      </c>
      <c r="H412" t="str">
        <v>Social safety nets</v>
      </c>
      <c r="I412">
        <f>4/10</f>
        <v>0.4</v>
      </c>
      <c r="J412">
        <v>0.3</v>
      </c>
    </row>
    <row r="413">
      <c r="H413" t="str">
        <v>Educational equality</v>
      </c>
      <c r="I413">
        <f>0.2/4</f>
        <v>0.05</v>
      </c>
      <c r="J413">
        <v>0.2</v>
      </c>
    </row>
    <row r="414">
      <c r="H414" t="str">
        <v>Health equality</v>
      </c>
      <c r="I414">
        <f>1.28/4</f>
        <v>0.32</v>
      </c>
      <c r="J414">
        <v>0.2</v>
      </c>
    </row>
    <row r="415">
      <c r="H415" t="str">
        <v>Access to public services by socio-economic position</v>
      </c>
      <c r="I415">
        <f>0.82/4</f>
        <v>0.205</v>
      </c>
      <c r="J415">
        <v>0.3</v>
      </c>
    </row>
    <row r="416">
      <c r="E416" t="str">
        <v>Living Standards</v>
      </c>
      <c r="F416">
        <f>(J416*I416)+(J417*I417)+(J418*I418)</f>
        <v>0.605</v>
      </c>
      <c r="G416">
        <v>0.4</v>
      </c>
      <c r="H416" t="str">
        <v>HDI</v>
      </c>
      <c r="I416">
        <v>0.563</v>
      </c>
      <c r="J416">
        <v>0.5</v>
      </c>
    </row>
    <row r="417">
      <c r="H417" t="str">
        <v>Infant mortality rate (inverted)</v>
      </c>
      <c r="I417">
        <f>(100-30)/100</f>
        <v>0.7</v>
      </c>
      <c r="J417">
        <v>0.3</v>
      </c>
    </row>
    <row r="418">
      <c r="H418" t="str">
        <v>Freedom of academic &amp; cultural expression</v>
      </c>
      <c r="I418">
        <f>2.27/4</f>
        <v>0.5675</v>
      </c>
      <c r="J418">
        <v>0.2</v>
      </c>
    </row>
    <row r="420">
      <c r="E420" t="str">
        <v>Distribution of Resources</v>
      </c>
      <c r="F420">
        <f>(J420*I420)+(I421*J421)+(I422*J422)</f>
        <v>0.47175</v>
      </c>
      <c r="G420">
        <v>0.25</v>
      </c>
      <c r="H420" t="str">
        <v>Gini Coefficient (inverted) (2019)</v>
      </c>
      <c r="I420">
        <f>(100-32)/100</f>
        <v>0.68</v>
      </c>
      <c r="J420">
        <v>0.25</v>
      </c>
    </row>
    <row r="421">
      <c r="H421" t="str">
        <v>Power distributed by socioeconomic position</v>
      </c>
      <c r="I421">
        <f>1.05/4</f>
        <v>0.2625</v>
      </c>
      <c r="J421">
        <v>0.5</v>
      </c>
    </row>
    <row r="422">
      <c r="H422" t="str">
        <v>Poverty headcount ratio (inverted) (2019)</v>
      </c>
      <c r="I422">
        <f>(100-31.8)/100</f>
        <v>0.682</v>
      </c>
      <c r="J422">
        <v>0.25</v>
      </c>
    </row>
    <row r="423">
      <c r="B423" t="str">
        <v>Responsiveness</v>
      </c>
      <c r="C423">
        <f>(G423*F423)+(F425*G425)</f>
        <v>0.3558</v>
      </c>
      <c r="D423">
        <v>0.2</v>
      </c>
      <c r="E423" t="str">
        <v>Discourse</v>
      </c>
      <c r="F423">
        <f>(J423*I423)+(I424*J424)</f>
        <v>0.4973333333</v>
      </c>
      <c r="G423">
        <v>0.45</v>
      </c>
      <c r="H423" t="str">
        <v>Deliberative component index</v>
      </c>
      <c r="I423">
        <v>0.56</v>
      </c>
      <c r="J423">
        <v>0.6</v>
      </c>
    </row>
    <row r="424">
      <c r="H424" t="str">
        <v>Reasoned justification</v>
      </c>
      <c r="I424">
        <f>1.21/3</f>
        <v>0.4033333333</v>
      </c>
      <c r="J424">
        <v>0.4</v>
      </c>
    </row>
    <row r="425">
      <c r="E425" t="str">
        <v>Policies and legitimacy</v>
      </c>
      <c r="F425">
        <f>(J425*I425)+(I426*J426)</f>
        <v>0.24</v>
      </c>
      <c r="G425">
        <v>0.55</v>
      </c>
      <c r="H425" t="str">
        <v>Steering Capability</v>
      </c>
      <c r="I425">
        <f>4/10</f>
        <v>0.4</v>
      </c>
      <c r="J425">
        <v>0.6</v>
      </c>
    </row>
    <row r="426">
      <c r="H426" t="str">
        <v>Approval of democracy (n/a)</v>
      </c>
      <c r="J426">
        <v>0.4</v>
      </c>
    </row>
    <row r="427">
      <c r="B427" t="str">
        <v>Electoral Integrity</v>
      </c>
      <c r="C427">
        <f>(F427*G427)+(F431*G431)</f>
        <v>0.54440625</v>
      </c>
      <c r="D427">
        <v>0.2</v>
      </c>
      <c r="E427" t="str">
        <v>Free and fair elections</v>
      </c>
      <c r="F427">
        <f>(J427*I427)+(J428*I428)+(J429*I429)+(J430*I430)</f>
        <v>0.503625</v>
      </c>
      <c r="G427">
        <v>0.55</v>
      </c>
      <c r="H427" t="str">
        <v>Clean elections index</v>
      </c>
      <c r="I427">
        <v>0.29</v>
      </c>
      <c r="J427">
        <v>0.35</v>
      </c>
    </row>
    <row r="428">
      <c r="H428" t="str">
        <v>Election free and fair</v>
      </c>
      <c r="I428">
        <f>1.96/4</f>
        <v>0.49</v>
      </c>
      <c r="J428">
        <v>0.35</v>
      </c>
    </row>
    <row r="429">
      <c r="H429" t="str">
        <v xml:space="preserve">Opposition parties autonomy </v>
      </c>
      <c r="I429">
        <f>2.15/4</f>
        <v>0.5375</v>
      </c>
      <c r="J429">
        <v>0.15</v>
      </c>
    </row>
    <row r="430">
      <c r="H430" t="str">
        <v>Share of population with suffrage</v>
      </c>
      <c r="I430">
        <v>1</v>
      </c>
      <c r="J430">
        <v>0.15</v>
      </c>
    </row>
    <row r="431">
      <c r="E431" t="str">
        <v>Peaceful transition of power</v>
      </c>
      <c r="F431">
        <f>(J431*I431)+(I432*J432)+(I433*J433)</f>
        <v>0.59425</v>
      </c>
      <c r="G431">
        <v>0.45</v>
      </c>
      <c r="H431" t="str">
        <v>Election other electoral violence</v>
      </c>
      <c r="I431">
        <f>1.92/4</f>
        <v>0.48</v>
      </c>
      <c r="J431">
        <v>0.3</v>
      </c>
    </row>
    <row r="432">
      <c r="H432" t="str">
        <v>Election losers accept results (2020)</v>
      </c>
      <c r="I432">
        <f>2.35/4</f>
        <v>0.5875</v>
      </c>
      <c r="J432">
        <v>0.3</v>
      </c>
    </row>
    <row r="433">
      <c r="H433" t="str">
        <v>Election government intimidation (2020)</v>
      </c>
      <c r="I433">
        <f>2.74/4</f>
        <v>0.685</v>
      </c>
      <c r="J433">
        <v>0.4</v>
      </c>
    </row>
    <row r="434">
      <c r="B434" t="str">
        <v>Democratic memory</v>
      </c>
      <c r="C434">
        <f>(F434*G434)+(F436*G436)</f>
        <v>0.036</v>
      </c>
      <c r="D434">
        <v>0.1</v>
      </c>
      <c r="E434" t="str">
        <v>Legal</v>
      </c>
      <c r="F434">
        <f>(J436*I436)+(I437*J437)</f>
        <v>0.036</v>
      </c>
      <c r="G434">
        <v>1</v>
      </c>
      <c r="H434" t="str">
        <v>Amnesty law</v>
      </c>
      <c r="I434">
        <v>0</v>
      </c>
      <c r="J434">
        <v>0.6</v>
      </c>
    </row>
    <row r="437">
      <c r="H437" t="str">
        <v>Domestic trials</v>
      </c>
      <c r="I437">
        <f>9/100</f>
        <v>0.09</v>
      </c>
      <c r="J437">
        <v>0.4</v>
      </c>
    </row>
    <row r="444">
      <c r="A444" t="str">
        <v>State</v>
      </c>
      <c r="B444" t="str">
        <v>Variable</v>
      </c>
      <c r="C444" t="str">
        <v>SCORE VAR</v>
      </c>
      <c r="D444" t="str">
        <v>% VAR</v>
      </c>
      <c r="E444" t="str">
        <v>Dimension</v>
      </c>
      <c r="F444" t="str">
        <v>SCORE DIM</v>
      </c>
      <c r="G444" t="str">
        <v>% DIM</v>
      </c>
      <c r="H444" t="str">
        <v>Indicator</v>
      </c>
      <c r="I444" t="str">
        <v>SCORE IND</v>
      </c>
      <c r="J444" t="str">
        <v>% IND</v>
      </c>
      <c r="K444" t="str">
        <v>TOTAL INDEX</v>
      </c>
    </row>
    <row r="445">
      <c r="A445" t="str">
        <v>Niger</v>
      </c>
      <c r="B445" t="str">
        <v>Institutional Integrity</v>
      </c>
      <c r="C445">
        <f>(G445*F445)+(G449*F449)+(G451*F451)+(G454*F454)</f>
        <v>0.4656085</v>
      </c>
      <c r="D445">
        <v>0.3</v>
      </c>
      <c r="E445" t="str">
        <v>Rule of Law</v>
      </c>
      <c r="F445">
        <f>(J445*I445)+(J446*I446)+(J447*I447)+(J448*I448)</f>
        <v>0.66015</v>
      </c>
      <c r="G445">
        <v>0.3</v>
      </c>
      <c r="H445" t="str">
        <v>Equal protection index</v>
      </c>
      <c r="I445">
        <v>0.88</v>
      </c>
      <c r="J445">
        <v>0.15</v>
      </c>
      <c r="K445">
        <f>(C445*D445)+(C456*D456)+(C467*D467)+(C471*D471)+(C478*D478)</f>
        <v>0.4356038</v>
      </c>
    </row>
    <row r="446">
      <c r="H446" t="str">
        <v>Rule of law index</v>
      </c>
      <c r="I446">
        <v>0.58</v>
      </c>
      <c r="J446">
        <v>0.5</v>
      </c>
    </row>
    <row r="447">
      <c r="H447" t="str">
        <v>Civil rights</v>
      </c>
      <c r="I447">
        <f>4.41/10</f>
        <v>0.441</v>
      </c>
      <c r="J447">
        <v>0.15</v>
      </c>
    </row>
    <row r="448">
      <c r="H448" t="str">
        <v>Access to justice</v>
      </c>
      <c r="I448">
        <v>0.86</v>
      </c>
      <c r="J448">
        <v>0.2</v>
      </c>
    </row>
    <row r="449">
      <c r="E449" t="str">
        <v>Separation of powers</v>
      </c>
      <c r="F449">
        <f>(J449*I449)+(I450*J450)</f>
        <v>0.2245</v>
      </c>
      <c r="G449">
        <v>0.25</v>
      </c>
      <c r="H449" t="str">
        <v>Separations of power</v>
      </c>
      <c r="I449">
        <f>1/10</f>
        <v>0.1</v>
      </c>
      <c r="J449">
        <v>0.7</v>
      </c>
    </row>
    <row r="450">
      <c r="H450" t="str">
        <v>High court independence</v>
      </c>
      <c r="I450">
        <f>2.06/4</f>
        <v>0.515</v>
      </c>
      <c r="J450">
        <v>0.3</v>
      </c>
    </row>
    <row r="451">
      <c r="E451" t="str">
        <v>Accountability</v>
      </c>
      <c r="F451">
        <f>(J451*I451)+(I452*J452)+(I453*J453)</f>
        <v>0.472295</v>
      </c>
      <c r="G451">
        <v>0.3</v>
      </c>
      <c r="H451" t="str">
        <v>Control of corruption</v>
      </c>
      <c r="I451">
        <f>35.37/100</f>
        <v>0.3537</v>
      </c>
      <c r="J451">
        <v>0.35</v>
      </c>
    </row>
    <row r="452">
      <c r="H452" t="str">
        <v>Corruption perceptions index (2024)</v>
      </c>
      <c r="I452">
        <f>24/100</f>
        <v>0.24</v>
      </c>
      <c r="J452">
        <v>0.3</v>
      </c>
    </row>
    <row r="453">
      <c r="H453" t="str">
        <v>Diagonal accountability index</v>
      </c>
      <c r="I453">
        <v>0.79</v>
      </c>
      <c r="J453">
        <v>0.35</v>
      </c>
    </row>
    <row r="454">
      <c r="E454" t="str">
        <v>Transparency</v>
      </c>
      <c r="F454">
        <f>(J454*I454)+(I455*J455)</f>
        <v>0.465</v>
      </c>
      <c r="G454">
        <v>0.15</v>
      </c>
      <c r="H454" t="str">
        <v>Open government index</v>
      </c>
      <c r="I454">
        <v>0.34</v>
      </c>
      <c r="J454">
        <v>0.6</v>
      </c>
    </row>
    <row r="455">
      <c r="H455" t="str">
        <v>Government censorship effort</v>
      </c>
      <c r="I455">
        <f>2.61/4</f>
        <v>0.6525</v>
      </c>
      <c r="J455">
        <v>0.4</v>
      </c>
    </row>
    <row r="456">
      <c r="B456" t="str">
        <v>Socio-economic development</v>
      </c>
      <c r="C456">
        <f>(G456*F456)+(F460*G460)+(F464*G464)</f>
        <v>0.4380625</v>
      </c>
      <c r="D456">
        <v>0.2</v>
      </c>
      <c r="E456" t="str">
        <v>Welfare Frameworks</v>
      </c>
      <c r="F456">
        <f>(J456*I456)+(J457*I457)+(J458*I458)+(J459*I459)</f>
        <v>0.247</v>
      </c>
      <c r="G456">
        <v>0.35</v>
      </c>
      <c r="H456" t="str">
        <v>Social safety nets</v>
      </c>
      <c r="I456">
        <f>3/10</f>
        <v>0.3</v>
      </c>
      <c r="J456">
        <v>0.3</v>
      </c>
    </row>
    <row r="457">
      <c r="H457" t="str">
        <v>Educational equality</v>
      </c>
      <c r="I457">
        <f>0.87/4</f>
        <v>0.2175</v>
      </c>
      <c r="J457">
        <v>0.2</v>
      </c>
    </row>
    <row r="458">
      <c r="H458" t="str">
        <v>Health equality</v>
      </c>
      <c r="I458">
        <f>0.77/4</f>
        <v>0.1925</v>
      </c>
      <c r="J458">
        <v>0.2</v>
      </c>
    </row>
    <row r="459">
      <c r="H459" t="str">
        <v>Access to public services by socio-economic position (2023)</v>
      </c>
      <c r="I459">
        <f>1/4</f>
        <v>0.25</v>
      </c>
      <c r="J459">
        <v>0.3</v>
      </c>
    </row>
    <row r="460">
      <c r="E460" t="str">
        <v>Living Standards</v>
      </c>
      <c r="F460">
        <f>(J460*I460)+(J461*I461)+(J462*I462)</f>
        <v>0.462</v>
      </c>
      <c r="G460">
        <v>0.4</v>
      </c>
      <c r="H460" t="str">
        <v>HDI</v>
      </c>
      <c r="I460">
        <v>0.419</v>
      </c>
      <c r="J460">
        <v>0.5</v>
      </c>
    </row>
    <row r="461">
      <c r="H461" t="str">
        <v>Infant mortality rate (inverted)</v>
      </c>
      <c r="I461">
        <v>0.34</v>
      </c>
      <c r="J461">
        <v>0.3</v>
      </c>
    </row>
    <row r="462">
      <c r="H462" t="str">
        <v>Freedom of academic &amp; cultural expression</v>
      </c>
      <c r="I462">
        <f>3.01/4</f>
        <v>0.7525</v>
      </c>
      <c r="J462">
        <v>0.2</v>
      </c>
    </row>
    <row r="464">
      <c r="E464" t="str">
        <v>Distribution of Resources</v>
      </c>
      <c r="F464">
        <f>(J464*I464)+(I465*J465)+(I466*J466)</f>
        <v>0.66725</v>
      </c>
      <c r="G464">
        <v>0.25</v>
      </c>
      <c r="H464" t="str">
        <v>Gini Coefficient (inverted) (2021)</v>
      </c>
      <c r="I464">
        <f>(100-32.9)/100</f>
        <v>0.671</v>
      </c>
      <c r="J464">
        <v>0.25</v>
      </c>
    </row>
    <row r="465">
      <c r="H465" t="str">
        <v>Power distributed by socioeconomic position</v>
      </c>
      <c r="I465">
        <f>2.82/4</f>
        <v>0.705</v>
      </c>
      <c r="J465">
        <v>0.5</v>
      </c>
    </row>
    <row r="466">
      <c r="H466" t="str">
        <v>Poverty headcount ratio (inverted) (2021)</v>
      </c>
      <c r="I466">
        <f>(100-41.2)/100</f>
        <v>0.588</v>
      </c>
      <c r="J466">
        <v>0.25</v>
      </c>
    </row>
    <row r="467">
      <c r="B467" t="str">
        <v>Responsiveness</v>
      </c>
      <c r="C467">
        <f>(G467*F467)+(F469*G469)</f>
        <v>0.4683</v>
      </c>
      <c r="D467">
        <v>0.2</v>
      </c>
      <c r="E467" t="str">
        <v>Discourse</v>
      </c>
      <c r="F467">
        <f>(J467*I467)+(I468*J468)</f>
        <v>0.7473333333</v>
      </c>
      <c r="G467">
        <v>0.45</v>
      </c>
      <c r="H467" t="str">
        <v>Deliberative component index</v>
      </c>
      <c r="I467">
        <v>0.77</v>
      </c>
      <c r="J467">
        <v>0.6</v>
      </c>
    </row>
    <row r="468">
      <c r="H468" t="str">
        <v>Reasoned justification</v>
      </c>
      <c r="I468">
        <f>2.14/3</f>
        <v>0.7133333333</v>
      </c>
      <c r="J468">
        <v>0.4</v>
      </c>
    </row>
    <row r="469">
      <c r="E469" t="str">
        <v>Policies and legitimacy</v>
      </c>
      <c r="F469">
        <f>(J469*I469)+(I470*J470)</f>
        <v>0.24</v>
      </c>
      <c r="G469">
        <v>0.55</v>
      </c>
      <c r="H469" t="str">
        <v>Steering Capability</v>
      </c>
      <c r="I469">
        <f>4/10</f>
        <v>0.4</v>
      </c>
      <c r="J469">
        <v>0.6</v>
      </c>
    </row>
    <row r="470">
      <c r="H470" t="str">
        <v>Approval of democracy (n/a)</v>
      </c>
      <c r="J470">
        <v>0.4</v>
      </c>
    </row>
    <row r="471">
      <c r="B471" t="str">
        <v>Electoral Integrity</v>
      </c>
      <c r="C471">
        <f>(F471*G471)+(F475*G475)</f>
        <v>0.56604375</v>
      </c>
      <c r="D471">
        <v>0.2</v>
      </c>
      <c r="E471" t="str">
        <v>Free and fair elections</v>
      </c>
      <c r="F471">
        <f>(J471*I471)+(J472*I472)+(J473*I473)+(J474*I474)</f>
        <v>0.523125</v>
      </c>
      <c r="G471">
        <v>0.55</v>
      </c>
      <c r="H471" t="str">
        <v>Clean elections index</v>
      </c>
      <c r="I471">
        <v>0</v>
      </c>
      <c r="J471">
        <v>0.35</v>
      </c>
    </row>
    <row r="472">
      <c r="H472" t="str">
        <v>Election free and fair (2023)</v>
      </c>
      <c r="I472">
        <f>2.64/4</f>
        <v>0.66</v>
      </c>
      <c r="J472">
        <v>0.35</v>
      </c>
    </row>
    <row r="473">
      <c r="H473" t="str">
        <v>Opposition parties autonomy</v>
      </c>
      <c r="I473">
        <f>3.79/4</f>
        <v>0.9475</v>
      </c>
      <c r="J473">
        <v>0.15</v>
      </c>
    </row>
    <row r="474">
      <c r="H474" t="str">
        <v>Share of population with suffrage</v>
      </c>
      <c r="I474">
        <v>1</v>
      </c>
      <c r="J474">
        <v>0.15</v>
      </c>
    </row>
    <row r="475">
      <c r="E475" t="str">
        <v>Peaceful transition of power</v>
      </c>
      <c r="F475">
        <f>(J475*I475)+(I476*J476)+(I477*J477)</f>
        <v>0.6185</v>
      </c>
      <c r="G475">
        <v>0.45</v>
      </c>
      <c r="H475" t="str">
        <v>Election other electoral violence (2023)</v>
      </c>
      <c r="I475">
        <f>2.47/4</f>
        <v>0.6175</v>
      </c>
      <c r="J475">
        <v>0.3</v>
      </c>
    </row>
    <row r="476">
      <c r="H476" t="str">
        <v>Election losers accept results</v>
      </c>
      <c r="I476">
        <f>2.79/4</f>
        <v>0.6975</v>
      </c>
      <c r="J476">
        <v>0.3</v>
      </c>
    </row>
    <row r="477">
      <c r="H477" t="str">
        <v>Election government intimidation (2023)</v>
      </c>
      <c r="I477">
        <f>2.24/4</f>
        <v>0.56</v>
      </c>
      <c r="J477">
        <v>0.4</v>
      </c>
    </row>
    <row r="478">
      <c r="B478" t="str">
        <v>Democratic memory</v>
      </c>
      <c r="C478">
        <f>(F478*G478)+(F480*G480)</f>
        <v>0.0144</v>
      </c>
      <c r="D478">
        <v>0.1</v>
      </c>
      <c r="E478" t="str">
        <v>Reparations</v>
      </c>
      <c r="F478">
        <f>(J478*I478)+(I479*J479)</f>
        <v>0</v>
      </c>
      <c r="G478">
        <v>0.6</v>
      </c>
      <c r="H478" t="str">
        <v>Truth commission</v>
      </c>
      <c r="I478">
        <v>0</v>
      </c>
      <c r="J478">
        <v>0.5</v>
      </c>
    </row>
    <row r="479">
      <c r="H479" t="str">
        <v>Reparatory policies</v>
      </c>
      <c r="I479">
        <v>0</v>
      </c>
      <c r="J479">
        <v>0.5</v>
      </c>
    </row>
    <row r="480">
      <c r="E480" t="str">
        <v>Legal</v>
      </c>
      <c r="F480">
        <f>(J480*I480)+(I481*J481)</f>
        <v>0.036</v>
      </c>
      <c r="G480">
        <v>0.4</v>
      </c>
      <c r="H480" t="str">
        <v>Amnesty law</v>
      </c>
      <c r="I480">
        <v>0</v>
      </c>
      <c r="J480">
        <v>0.6</v>
      </c>
    </row>
    <row r="481">
      <c r="H481" t="str">
        <v>Domestic trials</v>
      </c>
      <c r="I481">
        <v>0.09</v>
      </c>
      <c r="J481">
        <v>0.4</v>
      </c>
    </row>
    <row r="484">
      <c r="A484" t="str">
        <v>State</v>
      </c>
      <c r="B484" t="str">
        <v>Variable</v>
      </c>
      <c r="C484" t="str">
        <v>SCORE VAR</v>
      </c>
      <c r="D484" t="str">
        <v>% VAR</v>
      </c>
      <c r="E484" t="str">
        <v>Dimension</v>
      </c>
      <c r="F484" t="str">
        <v>SCORE DIM</v>
      </c>
      <c r="G484" t="str">
        <v>% DIM</v>
      </c>
      <c r="H484" t="str">
        <v>Indicator</v>
      </c>
      <c r="I484" t="str">
        <v>SCORE IND</v>
      </c>
      <c r="J484" t="str">
        <v>% IND</v>
      </c>
      <c r="K484" t="str">
        <v>TOTAL INDEX</v>
      </c>
    </row>
    <row r="485">
      <c r="A485" t="str">
        <v>Nigeria</v>
      </c>
      <c r="B485" t="str">
        <v>Institutional Integrity</v>
      </c>
      <c r="C485">
        <f>(G485*F485)+(G489*F489)+(G491*F491)+(G494*F494)</f>
        <v>0.485387</v>
      </c>
      <c r="D485">
        <v>0.3</v>
      </c>
      <c r="E485" t="str">
        <v>Rule of Law</v>
      </c>
      <c r="F485">
        <f>(J485*I485)+(J486*I486)+(J487*I487)+(J488*I488)</f>
        <v>0.49615</v>
      </c>
      <c r="G485">
        <v>0.3</v>
      </c>
      <c r="H485" t="str">
        <v>Equal protection index</v>
      </c>
      <c r="I485">
        <v>0.74</v>
      </c>
      <c r="J485">
        <v>0.15</v>
      </c>
      <c r="K485">
        <f>(C485*D485)+(C496*D496)+(C507*D507)+(C511*D511)+(C518*D518)</f>
        <v>0.4683861</v>
      </c>
    </row>
    <row r="486">
      <c r="H486" t="str">
        <v>Rule of law index</v>
      </c>
      <c r="I486">
        <v>0.29</v>
      </c>
      <c r="J486">
        <v>0.5</v>
      </c>
    </row>
    <row r="487">
      <c r="H487" t="str">
        <v>Civil rights</v>
      </c>
      <c r="I487">
        <f>4.41/10</f>
        <v>0.441</v>
      </c>
      <c r="J487">
        <v>0.15</v>
      </c>
    </row>
    <row r="488">
      <c r="H488" t="str">
        <v>Access to justice</v>
      </c>
      <c r="I488">
        <v>0.87</v>
      </c>
      <c r="J488">
        <v>0.2</v>
      </c>
    </row>
    <row r="489">
      <c r="E489" t="str">
        <v>Separation of powers</v>
      </c>
      <c r="F489">
        <f>(J489*I489)+(I490*J490)</f>
        <v>0.47375</v>
      </c>
      <c r="G489">
        <v>0.25</v>
      </c>
      <c r="H489" t="str">
        <v>Separations of power</v>
      </c>
      <c r="I489">
        <f>5/10</f>
        <v>0.5</v>
      </c>
      <c r="J489">
        <v>0.7</v>
      </c>
    </row>
    <row r="490">
      <c r="H490" t="str">
        <v>High court independence</v>
      </c>
      <c r="I490">
        <f>1.65/4</f>
        <v>0.4125</v>
      </c>
      <c r="J490">
        <v>0.3</v>
      </c>
    </row>
    <row r="491">
      <c r="E491" t="str">
        <v>Accountability</v>
      </c>
      <c r="F491">
        <f>(J491*I491)+(I492*J492)+(I493*J493)</f>
        <v>0.467515</v>
      </c>
      <c r="G491">
        <v>0.3</v>
      </c>
      <c r="H491" t="str">
        <v>Control of corruption</v>
      </c>
      <c r="I491">
        <f>25.29/100</f>
        <v>0.2529</v>
      </c>
      <c r="J491">
        <v>0.35</v>
      </c>
    </row>
    <row r="492">
      <c r="H492" t="str">
        <v>Corruption perceptions index (2024)</v>
      </c>
      <c r="I492">
        <f>26/100</f>
        <v>0.26</v>
      </c>
      <c r="J492">
        <v>0.3</v>
      </c>
    </row>
    <row r="493">
      <c r="H493" t="str">
        <v>Diagonal accountability index</v>
      </c>
      <c r="I493">
        <v>0.86</v>
      </c>
      <c r="J493">
        <v>0.35</v>
      </c>
    </row>
    <row r="494">
      <c r="E494" t="str">
        <v>Transparency</v>
      </c>
      <c r="F494">
        <f>(J494*I494)+(I495*J495)</f>
        <v>0.519</v>
      </c>
      <c r="G494">
        <v>0.15</v>
      </c>
      <c r="H494" t="str">
        <v>Open government index</v>
      </c>
      <c r="I494">
        <v>0.41</v>
      </c>
      <c r="J494">
        <v>0.6</v>
      </c>
    </row>
    <row r="495">
      <c r="H495" t="str">
        <v>Government censorship effort</v>
      </c>
      <c r="I495">
        <f>2.73/4</f>
        <v>0.6825</v>
      </c>
      <c r="J495">
        <v>0.4</v>
      </c>
    </row>
    <row r="496">
      <c r="B496" t="str">
        <v>Socio-economic development</v>
      </c>
      <c r="C496">
        <f>(G496*F496)+(F500*G500)+(F504*G504)</f>
        <v>0.442675</v>
      </c>
      <c r="D496">
        <v>0.2</v>
      </c>
      <c r="E496" t="str">
        <v>Welfare Frameworks</v>
      </c>
      <c r="F496">
        <f>(J496*I496)+(J497*I497)+(J498*I498)+(J499*I499)</f>
        <v>0.367</v>
      </c>
      <c r="G496">
        <v>0.35</v>
      </c>
      <c r="H496" t="str">
        <v>Social safety nets</v>
      </c>
      <c r="I496">
        <f>3/10</f>
        <v>0.3</v>
      </c>
      <c r="J496">
        <v>0.3</v>
      </c>
    </row>
    <row r="497">
      <c r="H497" t="str">
        <v>Educational equality</v>
      </c>
      <c r="I497">
        <f>1.22/4</f>
        <v>0.305</v>
      </c>
      <c r="J497">
        <v>0.2</v>
      </c>
    </row>
    <row r="498">
      <c r="H498" t="str">
        <v>Health equality</v>
      </c>
      <c r="I498">
        <f>1.32/4</f>
        <v>0.33</v>
      </c>
      <c r="J498">
        <v>0.2</v>
      </c>
    </row>
    <row r="499">
      <c r="H499" t="str">
        <v>Access to public services by socio-economic position (2023)</v>
      </c>
      <c r="I499">
        <f>2/4</f>
        <v>0.5</v>
      </c>
      <c r="J499">
        <v>0.3</v>
      </c>
    </row>
    <row r="500">
      <c r="E500" t="str">
        <v>Living Standards</v>
      </c>
      <c r="F500">
        <f>(J500*I500)+(J501*I501)+(J502*I502)</f>
        <v>0.524</v>
      </c>
      <c r="G500">
        <v>0.4</v>
      </c>
      <c r="H500" t="str">
        <v>HDI</v>
      </c>
      <c r="I500">
        <v>0.56</v>
      </c>
      <c r="J500">
        <v>0.5</v>
      </c>
    </row>
    <row r="501">
      <c r="H501" t="str">
        <v>Infant mortality rate (inverted)</v>
      </c>
      <c r="I501">
        <v>0.3</v>
      </c>
      <c r="J501">
        <v>0.3</v>
      </c>
    </row>
    <row r="502">
      <c r="H502" t="str">
        <v>Freedom of academic &amp; cultural expression</v>
      </c>
      <c r="I502">
        <f>3.08/4</f>
        <v>0.77</v>
      </c>
      <c r="J502">
        <v>0.2</v>
      </c>
    </row>
    <row r="504">
      <c r="E504" t="str">
        <v>Distribution of Resources</v>
      </c>
      <c r="F504">
        <f>(J504*I504)+(I505*J505)+(I506*J506)</f>
        <v>0.4185</v>
      </c>
      <c r="G504">
        <v>0.25</v>
      </c>
      <c r="H504" t="str">
        <v>Gini Coefficient (inverted) (2022)</v>
      </c>
      <c r="I504">
        <f>(100-33.9)/100</f>
        <v>0.661</v>
      </c>
      <c r="J504">
        <v>0.25</v>
      </c>
    </row>
    <row r="505">
      <c r="H505" t="str">
        <v>Power distributed by socioeconomic position</v>
      </c>
      <c r="I505">
        <f>1.15/4</f>
        <v>0.2875</v>
      </c>
      <c r="J505">
        <v>0.5</v>
      </c>
    </row>
    <row r="506">
      <c r="H506" t="str">
        <v>Poverty headcount ratio (inverted) (2022)</v>
      </c>
      <c r="I506">
        <f>(100-56.2)/100</f>
        <v>0.438</v>
      </c>
      <c r="J506">
        <v>0.25</v>
      </c>
    </row>
    <row r="507">
      <c r="B507" t="str">
        <v>Responsiveness</v>
      </c>
      <c r="C507">
        <f>(G507*F507)+(F509*G509)</f>
        <v>0.4185</v>
      </c>
      <c r="D507">
        <v>0.2</v>
      </c>
      <c r="E507" t="str">
        <v>Discourse</v>
      </c>
      <c r="F507">
        <f>(J507*I507)+(I508*J508)</f>
        <v>0.6366666667</v>
      </c>
      <c r="G507">
        <v>0.45</v>
      </c>
      <c r="H507" t="str">
        <v>Deliberative component index</v>
      </c>
      <c r="I507">
        <v>0.63</v>
      </c>
      <c r="J507">
        <v>0.6</v>
      </c>
    </row>
    <row r="508">
      <c r="H508" t="str">
        <v>Reasoned justification</v>
      </c>
      <c r="I508">
        <f>1.94/3</f>
        <v>0.6466666667</v>
      </c>
      <c r="J508">
        <v>0.4</v>
      </c>
    </row>
    <row r="509">
      <c r="E509" t="str">
        <v>Policies and legitimacy</v>
      </c>
      <c r="F509">
        <f>(J509*I509)+(I510*J510)</f>
        <v>0.24</v>
      </c>
      <c r="G509">
        <v>0.55</v>
      </c>
      <c r="H509" t="str">
        <v>Steering Capability</v>
      </c>
      <c r="I509">
        <f>4/10</f>
        <v>0.4</v>
      </c>
      <c r="J509">
        <v>0.6</v>
      </c>
    </row>
    <row r="510">
      <c r="H510" t="str">
        <v>Approval of democracy (n/a)</v>
      </c>
      <c r="J510">
        <v>0.4</v>
      </c>
    </row>
    <row r="511">
      <c r="B511" t="str">
        <v>Electoral Integrity</v>
      </c>
      <c r="C511">
        <f>(F511*G511)+(F515*G515)</f>
        <v>0.558675</v>
      </c>
      <c r="D511">
        <v>0.2</v>
      </c>
      <c r="E511" t="str">
        <v>Free and fair elections</v>
      </c>
      <c r="F511">
        <f>(J511*I511)+(J512*I512)+(J513*I513)+(J514*I514)</f>
        <v>0.585</v>
      </c>
      <c r="G511">
        <v>0.55</v>
      </c>
      <c r="H511" t="str">
        <v>Clean elections index</v>
      </c>
      <c r="I511">
        <v>0.35</v>
      </c>
      <c r="J511">
        <v>0.35</v>
      </c>
    </row>
    <row r="512">
      <c r="H512" t="str">
        <v>Election free and fair</v>
      </c>
      <c r="I512">
        <f>2.11/4</f>
        <v>0.5275</v>
      </c>
      <c r="J512">
        <v>0.35</v>
      </c>
    </row>
    <row r="513">
      <c r="H513" t="str">
        <v>Opposition parties autonomy</v>
      </c>
      <c r="I513">
        <f>3.41/4</f>
        <v>0.8525</v>
      </c>
      <c r="J513">
        <v>0.15</v>
      </c>
    </row>
    <row r="514">
      <c r="H514" t="str">
        <v>Share of population with suffrage</v>
      </c>
      <c r="I514">
        <v>1</v>
      </c>
      <c r="J514">
        <v>0.15</v>
      </c>
    </row>
    <row r="515">
      <c r="E515" t="str">
        <v>Peaceful transition of power</v>
      </c>
      <c r="F515">
        <f>(J515*I515)+(I516*J516)+(I517*J517)</f>
        <v>0.5265</v>
      </c>
      <c r="G515">
        <v>0.45</v>
      </c>
      <c r="H515" t="str">
        <v>Election other electoral violence</v>
      </c>
      <c r="I515">
        <f>2.2/4</f>
        <v>0.55</v>
      </c>
      <c r="J515">
        <v>0.3</v>
      </c>
    </row>
    <row r="516">
      <c r="H516" t="str">
        <v>Election losers accept results</v>
      </c>
      <c r="I516">
        <f>1.66/4</f>
        <v>0.415</v>
      </c>
      <c r="J516">
        <v>0.3</v>
      </c>
    </row>
    <row r="517">
      <c r="H517" t="str">
        <v>Election government intimidation</v>
      </c>
      <c r="I517">
        <f>2.37/4</f>
        <v>0.5925</v>
      </c>
      <c r="J517">
        <v>0.4</v>
      </c>
    </row>
    <row r="518">
      <c r="B518" t="str">
        <v>Democratic memory</v>
      </c>
      <c r="C518">
        <f>(F518*G518)+(F520*G520)</f>
        <v>0.388</v>
      </c>
      <c r="D518">
        <v>0.1</v>
      </c>
      <c r="E518" t="str">
        <v>Reparations</v>
      </c>
      <c r="F518">
        <f>(J518*I518)+(I519*J519)</f>
        <v>0.5</v>
      </c>
      <c r="G518">
        <v>0.6</v>
      </c>
      <c r="H518" t="str">
        <v>Truth commission</v>
      </c>
      <c r="I518">
        <v>1</v>
      </c>
      <c r="J518">
        <v>0.5</v>
      </c>
    </row>
    <row r="519">
      <c r="H519" t="str">
        <v>Reparatory policies</v>
      </c>
      <c r="I519">
        <v>0</v>
      </c>
      <c r="J519">
        <v>0.5</v>
      </c>
    </row>
    <row r="520">
      <c r="E520" t="str">
        <v>Legal</v>
      </c>
      <c r="F520">
        <f>(J520*I520)+(I521*J521)</f>
        <v>0.22</v>
      </c>
      <c r="G520">
        <v>0.4</v>
      </c>
      <c r="H520" t="str">
        <v>Amnesty law</v>
      </c>
      <c r="I520">
        <v>0</v>
      </c>
      <c r="J520">
        <v>0.6</v>
      </c>
    </row>
    <row r="521">
      <c r="H521" t="str">
        <v>Domestic trials</v>
      </c>
      <c r="I521">
        <v>0.55</v>
      </c>
      <c r="J521">
        <v>0.4</v>
      </c>
    </row>
    <row r="524">
      <c r="A524" t="str">
        <v>State</v>
      </c>
      <c r="B524" t="str">
        <v>Variable</v>
      </c>
      <c r="C524" t="str">
        <v>SCORE VAR</v>
      </c>
      <c r="D524" t="str">
        <v>% VAR</v>
      </c>
      <c r="E524" t="str">
        <v>Dimension</v>
      </c>
      <c r="F524" t="str">
        <v>SCORE DIM</v>
      </c>
      <c r="G524" t="str">
        <v>% DIM</v>
      </c>
      <c r="H524" t="str">
        <v>Indicator</v>
      </c>
      <c r="I524" t="str">
        <v>SCORE IND</v>
      </c>
      <c r="J524" t="str">
        <v>% IND</v>
      </c>
      <c r="K524" t="str">
        <v>TOTAL INDEX</v>
      </c>
    </row>
    <row r="525">
      <c r="A525" t="str">
        <v>Sierra Leone</v>
      </c>
      <c r="B525" t="str">
        <v>Institutional Integrity</v>
      </c>
      <c r="C525">
        <f>(G525*F525)+(G529*F529)+(G531*F531)+(G534*F534)</f>
        <v>0.530947</v>
      </c>
      <c r="D525">
        <v>0.3</v>
      </c>
      <c r="E525" t="str">
        <v>Rule of Law</v>
      </c>
      <c r="F525">
        <f>(J525*I525)+(J526*I526)+(J527*I527)+(J528*I528)</f>
        <v>0.6155</v>
      </c>
      <c r="G525">
        <v>0.3</v>
      </c>
      <c r="H525" t="str">
        <v>Equal protection index</v>
      </c>
      <c r="I525">
        <v>0.71</v>
      </c>
      <c r="J525">
        <v>0.15</v>
      </c>
      <c r="K525">
        <f>(C525*D525)+(C536*D536)+(C547*D547)+(C551*D551)+(C558*D558)</f>
        <v>0.53812035</v>
      </c>
    </row>
    <row r="526">
      <c r="H526" t="str">
        <v>Rule of law index</v>
      </c>
      <c r="I526">
        <v>0.54</v>
      </c>
      <c r="J526">
        <v>0.5</v>
      </c>
    </row>
    <row r="527">
      <c r="H527" t="str">
        <v>Civil rights</v>
      </c>
      <c r="I527">
        <f>5/10</f>
        <v>0.5</v>
      </c>
      <c r="J527">
        <v>0.15</v>
      </c>
    </row>
    <row r="528">
      <c r="H528" t="str">
        <v>Access to justice</v>
      </c>
      <c r="I528">
        <v>0.82</v>
      </c>
      <c r="J528">
        <v>0.2</v>
      </c>
    </row>
    <row r="529">
      <c r="E529" t="str">
        <v>Separation of powers</v>
      </c>
      <c r="F529">
        <f>(J529*I529)+(I530*J530)</f>
        <v>0.4105</v>
      </c>
      <c r="G529">
        <v>0.25</v>
      </c>
      <c r="H529" t="str">
        <v>Separations of power</v>
      </c>
      <c r="I529">
        <f>4/10</f>
        <v>0.4</v>
      </c>
      <c r="J529">
        <v>0.7</v>
      </c>
    </row>
    <row r="530">
      <c r="H530" t="str">
        <v>High court independence</v>
      </c>
      <c r="I530">
        <f>1.74/4</f>
        <v>0.435</v>
      </c>
      <c r="J530">
        <v>0.3</v>
      </c>
    </row>
    <row r="531">
      <c r="E531" t="str">
        <v>Accountability</v>
      </c>
      <c r="F531">
        <f>(J531*I531)+(I532*J532)+(I533*J533)</f>
        <v>0.52824</v>
      </c>
      <c r="G531">
        <v>0.3</v>
      </c>
      <c r="H531" t="str">
        <v>Control of corruption</v>
      </c>
      <c r="I531">
        <f>33.64/100</f>
        <v>0.3364</v>
      </c>
      <c r="J531">
        <v>0.35</v>
      </c>
    </row>
    <row r="532">
      <c r="H532" t="str">
        <v>Corruption perceptions index (2024)</v>
      </c>
      <c r="I532">
        <f>33/100</f>
        <v>0.33</v>
      </c>
      <c r="J532">
        <v>0.3</v>
      </c>
    </row>
    <row r="533">
      <c r="H533" t="str">
        <v>Diagonal accountability index</v>
      </c>
      <c r="I533">
        <v>0.89</v>
      </c>
      <c r="J533">
        <v>0.35</v>
      </c>
    </row>
    <row r="534">
      <c r="E534" t="str">
        <v>Transparency</v>
      </c>
      <c r="F534">
        <f>(J534*I534)+(I535*J535)</f>
        <v>0.568</v>
      </c>
      <c r="G534">
        <v>0.15</v>
      </c>
      <c r="H534" t="str">
        <v>Open government index</v>
      </c>
      <c r="I534">
        <v>0.38</v>
      </c>
      <c r="J534">
        <v>0.6</v>
      </c>
    </row>
    <row r="535">
      <c r="H535" t="str">
        <v>Government censorship effort</v>
      </c>
      <c r="I535">
        <f>3.4/4</f>
        <v>0.85</v>
      </c>
      <c r="J535">
        <v>0.4</v>
      </c>
    </row>
    <row r="536">
      <c r="B536" t="str">
        <v>Socio-economic development</v>
      </c>
      <c r="C536">
        <f>(G536*F536)+(F540*G540)+(F544*G544)</f>
        <v>0.49855</v>
      </c>
      <c r="D536">
        <v>0.2</v>
      </c>
      <c r="E536" t="str">
        <v>Welfare Frameworks</v>
      </c>
      <c r="F536">
        <f>(J536*I536)+(J537*I537)+(J538*I538)+(J539*I539)</f>
        <v>0.402</v>
      </c>
      <c r="G536">
        <v>0.35</v>
      </c>
      <c r="H536" t="str">
        <v>Social safety nets</v>
      </c>
      <c r="I536">
        <f>3/10</f>
        <v>0.3</v>
      </c>
      <c r="J536">
        <v>0.3</v>
      </c>
    </row>
    <row r="537">
      <c r="H537" t="str">
        <v>Educational equality</v>
      </c>
      <c r="I537">
        <f>1.7/4</f>
        <v>0.425</v>
      </c>
      <c r="J537">
        <v>0.2</v>
      </c>
    </row>
    <row r="538">
      <c r="H538" t="str">
        <v>Health equality</v>
      </c>
      <c r="I538">
        <f>1.57/4</f>
        <v>0.3925</v>
      </c>
      <c r="J538">
        <v>0.2</v>
      </c>
    </row>
    <row r="539">
      <c r="H539" t="str">
        <v>Access to public services by socio-economic position (2023)</v>
      </c>
      <c r="I539">
        <f>1.98/4</f>
        <v>0.495</v>
      </c>
      <c r="J539">
        <v>0.3</v>
      </c>
    </row>
    <row r="540">
      <c r="E540" t="str">
        <v>Living Standards</v>
      </c>
      <c r="F540">
        <f>(J540*I540)+(J541*I541)+(J542*I542)</f>
        <v>0.529</v>
      </c>
      <c r="G540">
        <v>0.4</v>
      </c>
      <c r="H540" t="str">
        <v>HDI</v>
      </c>
      <c r="I540">
        <v>0.467</v>
      </c>
      <c r="J540">
        <v>0.5</v>
      </c>
    </row>
    <row r="541">
      <c r="H541" t="str">
        <v>Infant mortality rate (inverted)</v>
      </c>
      <c r="I541">
        <v>0.45</v>
      </c>
      <c r="J541">
        <v>0.3</v>
      </c>
    </row>
    <row r="542">
      <c r="H542" t="str">
        <v>Freedom of academic &amp; cultural expression</v>
      </c>
      <c r="I542">
        <f>3.21/4</f>
        <v>0.8025</v>
      </c>
      <c r="J542">
        <v>0.2</v>
      </c>
    </row>
    <row r="544">
      <c r="E544" t="str">
        <v>Distribution of Resources</v>
      </c>
      <c r="F544">
        <f>(J544*I544)+(I545*J545)+(I546*J546)</f>
        <v>0.585</v>
      </c>
      <c r="G544">
        <v>0.25</v>
      </c>
      <c r="H544" t="str">
        <v>Gini Coefficient (inverted) (2018)</v>
      </c>
      <c r="I544">
        <f>(100-35.7)/100</f>
        <v>0.643</v>
      </c>
      <c r="J544">
        <v>0.25</v>
      </c>
    </row>
    <row r="545">
      <c r="H545" t="str">
        <v>Power distributed by socioeconomic position</v>
      </c>
      <c r="I545">
        <f>2.53/4</f>
        <v>0.6325</v>
      </c>
      <c r="J545">
        <v>0.5</v>
      </c>
    </row>
    <row r="546">
      <c r="H546" t="str">
        <v>Poverty headcount ratio (inverted) (2018)</v>
      </c>
      <c r="I546">
        <f>(100-56.8)/100</f>
        <v>0.432</v>
      </c>
      <c r="J546">
        <v>0.25</v>
      </c>
    </row>
    <row r="547">
      <c r="B547" t="str">
        <v>Responsiveness</v>
      </c>
      <c r="C547">
        <f>(G547*F547)+(F549*G549)</f>
        <v>0.6204</v>
      </c>
      <c r="D547">
        <v>0.2</v>
      </c>
      <c r="E547" t="str">
        <v>Discourse</v>
      </c>
      <c r="F547">
        <f>(J547*I547)+(I548*J548)</f>
        <v>0.792</v>
      </c>
      <c r="G547">
        <v>0.45</v>
      </c>
      <c r="H547" t="str">
        <v>Deliberative component index</v>
      </c>
      <c r="I547">
        <v>0.9</v>
      </c>
      <c r="J547">
        <v>0.6</v>
      </c>
    </row>
    <row r="548">
      <c r="H548" t="str">
        <v>Reasoned justification</v>
      </c>
      <c r="I548">
        <f>1.89/3</f>
        <v>0.63</v>
      </c>
      <c r="J548">
        <v>0.4</v>
      </c>
    </row>
    <row r="549">
      <c r="E549" t="str">
        <v>Policies and legitimacy</v>
      </c>
      <c r="F549">
        <f>(J549*I549)+(I550*J550)</f>
        <v>0.48</v>
      </c>
      <c r="G549">
        <v>0.55</v>
      </c>
      <c r="H549" t="str">
        <v>Steering Capability</v>
      </c>
      <c r="I549">
        <f>4/10</f>
        <v>0.4</v>
      </c>
      <c r="J549">
        <v>0.6</v>
      </c>
    </row>
    <row r="550">
      <c r="H550" t="str">
        <v>Approval of democracy</v>
      </c>
      <c r="I550">
        <f>6/10</f>
        <v>0.6</v>
      </c>
      <c r="J550">
        <v>0.4</v>
      </c>
    </row>
    <row r="551">
      <c r="B551" t="str">
        <v>Electoral Integrity</v>
      </c>
      <c r="C551">
        <f>(F551*G551)+(F555*G555)</f>
        <v>0.50533125</v>
      </c>
      <c r="D551">
        <v>0.2</v>
      </c>
      <c r="E551" t="str">
        <v>Free and fair elections</v>
      </c>
      <c r="F551">
        <f>(J551*I551)+(J552*I552)+(J553*I553)+(J554*I554)</f>
        <v>0.560625</v>
      </c>
      <c r="G551">
        <v>0.55</v>
      </c>
      <c r="H551" t="str">
        <v>Clean elections index</v>
      </c>
      <c r="I551">
        <v>0.32</v>
      </c>
      <c r="J551">
        <v>0.35</v>
      </c>
    </row>
    <row r="552">
      <c r="H552" t="str">
        <v>Election free and fair</v>
      </c>
      <c r="I552">
        <f>1.87/4</f>
        <v>0.4675</v>
      </c>
      <c r="J552">
        <v>0.35</v>
      </c>
    </row>
    <row r="553">
      <c r="H553" t="str">
        <v>Opposition parties autonomy</v>
      </c>
      <c r="I553">
        <f>3.6/4</f>
        <v>0.9</v>
      </c>
      <c r="J553">
        <v>0.15</v>
      </c>
    </row>
    <row r="554">
      <c r="H554" t="str">
        <v>Share of population with suffrage</v>
      </c>
      <c r="I554">
        <v>1</v>
      </c>
      <c r="J554">
        <v>0.15</v>
      </c>
    </row>
    <row r="555">
      <c r="E555" t="str">
        <v>Peaceful transition of power</v>
      </c>
      <c r="F555">
        <f>(J555*I555)+(I556*J556)+(I557*J557)</f>
        <v>0.43775</v>
      </c>
      <c r="G555">
        <v>0.45</v>
      </c>
      <c r="H555" t="str">
        <v>Election other electoral violence</v>
      </c>
      <c r="I555">
        <f>1.23/4</f>
        <v>0.3075</v>
      </c>
      <c r="J555">
        <v>0.3</v>
      </c>
    </row>
    <row r="556">
      <c r="H556" t="str">
        <v>Election losers accept results</v>
      </c>
      <c r="I556">
        <f>1.7/4</f>
        <v>0.425</v>
      </c>
      <c r="J556">
        <v>0.3</v>
      </c>
    </row>
    <row r="557">
      <c r="H557" t="str">
        <v>Election government intimidation</v>
      </c>
      <c r="I557">
        <f>2.18/4</f>
        <v>0.545</v>
      </c>
      <c r="J557">
        <v>0.4</v>
      </c>
    </row>
    <row r="558">
      <c r="B558" t="str">
        <v>Democratic memory</v>
      </c>
      <c r="C558">
        <f>(F558*G558)+(F560*G560)</f>
        <v>0.5398</v>
      </c>
      <c r="D558">
        <v>0.1</v>
      </c>
      <c r="E558" t="str">
        <v>Reparations</v>
      </c>
      <c r="F558">
        <f>(J558*I558)+(I559*J559)</f>
        <v>0.665</v>
      </c>
      <c r="G558">
        <v>0.6</v>
      </c>
      <c r="H558" t="str">
        <v>Truth commission</v>
      </c>
      <c r="I558">
        <v>1</v>
      </c>
      <c r="J558">
        <v>0.5</v>
      </c>
    </row>
    <row r="559">
      <c r="H559" t="str">
        <v>Reparatory policies</v>
      </c>
      <c r="I559">
        <v>0.33</v>
      </c>
      <c r="J559">
        <v>0.5</v>
      </c>
    </row>
    <row r="560">
      <c r="E560" t="str">
        <v>Legal</v>
      </c>
      <c r="F560">
        <f>(J560*I560)+(I561*J561)</f>
        <v>0.352</v>
      </c>
      <c r="G560">
        <v>0.4</v>
      </c>
      <c r="H560" t="str">
        <v>Amnesty law</v>
      </c>
      <c r="I560">
        <v>0.5</v>
      </c>
      <c r="J560">
        <v>0.6</v>
      </c>
    </row>
    <row r="561">
      <c r="H561" t="str">
        <v>Domestic trials</v>
      </c>
      <c r="I561">
        <v>0.13</v>
      </c>
      <c r="J561">
        <v>0.4</v>
      </c>
    </row>
    <row r="564">
      <c r="A564" t="str">
        <v>State</v>
      </c>
      <c r="B564" t="str">
        <v>Variable</v>
      </c>
      <c r="C564" t="str">
        <v>SCORE VAR</v>
      </c>
      <c r="D564" t="str">
        <v>% VAR</v>
      </c>
      <c r="E564" t="str">
        <v>Dimension</v>
      </c>
      <c r="F564" t="str">
        <v>SCORE DIM</v>
      </c>
      <c r="G564" t="str">
        <v>% DIM</v>
      </c>
      <c r="H564" t="str">
        <v>Indicator</v>
      </c>
      <c r="I564" t="str">
        <v>SCORE IND</v>
      </c>
      <c r="J564" t="str">
        <v>% IND</v>
      </c>
      <c r="K564" t="str">
        <v>TOTAL INDEX</v>
      </c>
    </row>
    <row r="565">
      <c r="A565" t="str">
        <v>Senegal</v>
      </c>
      <c r="B565" t="str">
        <v>Institutional Integrity</v>
      </c>
      <c r="C565">
        <f>(G565*F565)+(G569*F569)+(G571*F571)+(G574*F574)</f>
        <v>0.5971395</v>
      </c>
      <c r="D565">
        <v>0.3</v>
      </c>
      <c r="E565" t="str">
        <v>Rule of Law</v>
      </c>
      <c r="F565">
        <f>(J565*I565)+(J566*I566)+(J567*I567)+(J568*I568)</f>
        <v>0.66585</v>
      </c>
      <c r="G565">
        <v>0.3</v>
      </c>
      <c r="H565" t="str">
        <v>Equal protection index</v>
      </c>
      <c r="I565">
        <v>0.7</v>
      </c>
      <c r="J565">
        <v>0.15</v>
      </c>
      <c r="K565">
        <f>(C565*D565)+(C576*D576)+(C587*D587)+(C591*D591)+(C598*D598)</f>
        <v>0.6077906</v>
      </c>
    </row>
    <row r="566">
      <c r="H566" t="str">
        <v>Rule of law index</v>
      </c>
      <c r="I566">
        <v>0.69</v>
      </c>
      <c r="J566">
        <v>0.5</v>
      </c>
    </row>
    <row r="567">
      <c r="H567" t="str">
        <v>Civil rights</v>
      </c>
      <c r="I567">
        <f>5.59/10</f>
        <v>0.559</v>
      </c>
      <c r="J567">
        <v>0.15</v>
      </c>
    </row>
    <row r="568">
      <c r="H568" t="str">
        <v>Access to justice</v>
      </c>
      <c r="I568">
        <v>0.66</v>
      </c>
      <c r="J568">
        <v>0.2</v>
      </c>
    </row>
    <row r="569">
      <c r="E569" t="str">
        <v>Separation of powers</v>
      </c>
      <c r="F569">
        <f>(J569*I569)+(I570*J570)</f>
        <v>0.55875</v>
      </c>
      <c r="G569">
        <v>0.25</v>
      </c>
      <c r="H569" t="str">
        <v>Separations of power</v>
      </c>
      <c r="I569">
        <f>6/10</f>
        <v>0.6</v>
      </c>
      <c r="J569">
        <v>0.7</v>
      </c>
    </row>
    <row r="570">
      <c r="H570" t="str">
        <v>High court independence</v>
      </c>
      <c r="I570">
        <f>1.85/4</f>
        <v>0.4625</v>
      </c>
      <c r="J570">
        <v>0.3</v>
      </c>
    </row>
    <row r="571">
      <c r="E571" t="str">
        <v>Accountability</v>
      </c>
      <c r="F571">
        <f>(J571*I571)+(I572*J572)+(I573*J573)</f>
        <v>0.61149</v>
      </c>
      <c r="G571">
        <v>0.3</v>
      </c>
      <c r="H571" t="str">
        <v>Control of corruption</v>
      </c>
      <c r="I571">
        <f>50.14/100</f>
        <v>0.5014</v>
      </c>
      <c r="J571">
        <v>0.35</v>
      </c>
    </row>
    <row r="572">
      <c r="H572" t="str">
        <v>Corruption perceptions index (2024)</v>
      </c>
      <c r="I572">
        <f>45/100</f>
        <v>0.45</v>
      </c>
      <c r="J572">
        <v>0.3</v>
      </c>
    </row>
    <row r="573">
      <c r="H573" t="str">
        <v>Diagonal accountability index</v>
      </c>
      <c r="I573">
        <v>0.86</v>
      </c>
      <c r="J573">
        <v>0.35</v>
      </c>
    </row>
    <row r="574">
      <c r="E574" t="str">
        <v>Transparency</v>
      </c>
      <c r="F574">
        <f>(J574*I574)+(I575*J575)</f>
        <v>0.495</v>
      </c>
      <c r="G574">
        <v>0.15</v>
      </c>
      <c r="H574" t="str">
        <v>Open government index</v>
      </c>
      <c r="I574">
        <v>0.45</v>
      </c>
      <c r="J574">
        <v>0.6</v>
      </c>
    </row>
    <row r="575">
      <c r="H575" t="str">
        <v>Government censorship effort</v>
      </c>
      <c r="I575">
        <f>2.25/4</f>
        <v>0.5625</v>
      </c>
      <c r="J575">
        <v>0.4</v>
      </c>
    </row>
    <row r="576">
      <c r="B576" t="str">
        <v>Socio-economic development</v>
      </c>
      <c r="C576">
        <f>(G576*F576)+(F580*G580)+(F584*G584)</f>
        <v>0.575775</v>
      </c>
      <c r="D576">
        <v>0.2</v>
      </c>
      <c r="E576" t="str">
        <v>Welfare Frameworks</v>
      </c>
      <c r="F576">
        <f>(J576*I576)+(J577*I577)+(J578*I578)+(J579*I579)</f>
        <v>0.4235</v>
      </c>
      <c r="G576">
        <v>0.35</v>
      </c>
      <c r="H576" t="str">
        <v>Social safety nets</v>
      </c>
      <c r="I576">
        <f>4/10</f>
        <v>0.4</v>
      </c>
      <c r="J576">
        <v>0.3</v>
      </c>
    </row>
    <row r="577">
      <c r="H577" t="str">
        <v>Educational equality</v>
      </c>
      <c r="I577">
        <f>1.8/4</f>
        <v>0.45</v>
      </c>
      <c r="J577">
        <v>0.2</v>
      </c>
    </row>
    <row r="578">
      <c r="H578" t="str">
        <v>Health equality</v>
      </c>
      <c r="I578">
        <f>2.08/4</f>
        <v>0.52</v>
      </c>
      <c r="J578">
        <v>0.2</v>
      </c>
    </row>
    <row r="579">
      <c r="H579" t="str">
        <v>Access to public services by socio-economic position (2023)</v>
      </c>
      <c r="I579">
        <f>1.46/4</f>
        <v>0.365</v>
      </c>
      <c r="J579">
        <v>0.3</v>
      </c>
    </row>
    <row r="580">
      <c r="E580" t="str">
        <v>Living Standards</v>
      </c>
      <c r="F580">
        <f>(J580*I580)+(J581*I581)+(J582*I582)</f>
        <v>0.6645</v>
      </c>
      <c r="G580">
        <v>0.4</v>
      </c>
      <c r="H580" t="str">
        <v>HDI</v>
      </c>
      <c r="I580">
        <v>0.53</v>
      </c>
      <c r="J580">
        <v>0.5</v>
      </c>
    </row>
    <row r="581">
      <c r="H581" t="str">
        <v>Infant mortality rate (inverted)</v>
      </c>
      <c r="I581">
        <v>0.71</v>
      </c>
      <c r="J581">
        <v>0.3</v>
      </c>
    </row>
    <row r="582">
      <c r="H582" t="str">
        <v>Freedom of academic &amp; cultural expression</v>
      </c>
      <c r="I582">
        <f>3.73/4</f>
        <v>0.9325</v>
      </c>
      <c r="J582">
        <v>0.2</v>
      </c>
    </row>
    <row r="584">
      <c r="E584" t="str">
        <v>Distribution of Resources</v>
      </c>
      <c r="F584">
        <f>(J584*I584)+(I585*J585)+(I586*J586)</f>
        <v>0.647</v>
      </c>
      <c r="G584">
        <v>0.25</v>
      </c>
      <c r="H584" t="str">
        <v>Gini Coefficient (inverted) (2021)</v>
      </c>
      <c r="I584">
        <f>(100-36.2)/100</f>
        <v>0.638</v>
      </c>
      <c r="J584">
        <v>0.25</v>
      </c>
    </row>
    <row r="585">
      <c r="H585" t="str">
        <v>Power distributed by socioeconomic position</v>
      </c>
      <c r="I585">
        <f>2.65/4</f>
        <v>0.6625</v>
      </c>
      <c r="J585">
        <v>0.5</v>
      </c>
    </row>
    <row r="586">
      <c r="H586" t="str">
        <v>Poverty headcount ratio (inverted) (2021)</v>
      </c>
      <c r="I586">
        <f>(100-37.5)/100</f>
        <v>0.625</v>
      </c>
      <c r="J586">
        <v>0.25</v>
      </c>
    </row>
    <row r="587">
      <c r="B587" t="str">
        <v>Responsiveness</v>
      </c>
      <c r="C587">
        <f>(G587*F587)+(F589*G589)</f>
        <v>0.7765</v>
      </c>
      <c r="D587">
        <v>0.2</v>
      </c>
      <c r="E587" t="str">
        <v>Discourse</v>
      </c>
      <c r="F587">
        <f>(J587*I587)+(I588*J588)</f>
        <v>0.7966666667</v>
      </c>
      <c r="G587">
        <v>0.45</v>
      </c>
      <c r="H587" t="str">
        <v>Deliberative component index</v>
      </c>
      <c r="I587">
        <v>0.89</v>
      </c>
      <c r="J587">
        <v>0.6</v>
      </c>
    </row>
    <row r="588">
      <c r="H588" t="str">
        <v>Reasoned justification</v>
      </c>
      <c r="I588">
        <f>1.97/3</f>
        <v>0.6566666667</v>
      </c>
      <c r="J588">
        <v>0.4</v>
      </c>
    </row>
    <row r="589">
      <c r="E589" t="str">
        <v>Policies and legitimacy</v>
      </c>
      <c r="F589">
        <f>(J589*I589)+(I590*J590)</f>
        <v>0.76</v>
      </c>
      <c r="G589">
        <v>0.55</v>
      </c>
      <c r="H589" t="str">
        <v>Steering Capability</v>
      </c>
      <c r="I589">
        <f>((7+6+7)/3)/10</f>
        <v>0.6666666667</v>
      </c>
      <c r="J589">
        <v>0.6</v>
      </c>
    </row>
    <row r="590">
      <c r="H590" t="str">
        <v>Approval of democracy</v>
      </c>
      <c r="I590">
        <f>9/10</f>
        <v>0.9</v>
      </c>
      <c r="J590">
        <v>0.4</v>
      </c>
    </row>
    <row r="591">
      <c r="B591" t="str">
        <v>Electoral Integrity</v>
      </c>
      <c r="C591">
        <f>(F591*G591)+(F595*G595)</f>
        <v>0.77416875</v>
      </c>
      <c r="D591">
        <v>0.2</v>
      </c>
      <c r="E591" t="str">
        <v>Free and fair elections</v>
      </c>
      <c r="F591">
        <f>(J591*I591)+(J592*I592)+(J593*I593)+(J594*I594)</f>
        <v>0.790875</v>
      </c>
      <c r="G591">
        <v>0.55</v>
      </c>
      <c r="H591" t="str">
        <v>Clean elections index</v>
      </c>
      <c r="I591">
        <v>0.7</v>
      </c>
      <c r="J591">
        <v>0.35</v>
      </c>
    </row>
    <row r="592">
      <c r="H592" t="str">
        <v>Election free and fair</v>
      </c>
      <c r="I592">
        <f>3.29/4</f>
        <v>0.8225</v>
      </c>
      <c r="J592">
        <v>0.35</v>
      </c>
    </row>
    <row r="593">
      <c r="H593" t="str">
        <v>Opposition parties autonomy</v>
      </c>
      <c r="I593">
        <f>2.88/4</f>
        <v>0.72</v>
      </c>
      <c r="J593">
        <v>0.15</v>
      </c>
    </row>
    <row r="594">
      <c r="H594" t="str">
        <v>Share of population with suffrage</v>
      </c>
      <c r="I594">
        <v>1</v>
      </c>
      <c r="J594">
        <v>0.15</v>
      </c>
    </row>
    <row r="595">
      <c r="E595" t="str">
        <v>Peaceful transition of power</v>
      </c>
      <c r="F595">
        <f>(J595*I595)+(I596*J596)+(I597*J597)</f>
        <v>0.75375</v>
      </c>
      <c r="G595">
        <v>0.45</v>
      </c>
      <c r="H595" t="str">
        <v>Election other electoral violence</v>
      </c>
      <c r="I595">
        <f>2.45/4</f>
        <v>0.6125</v>
      </c>
      <c r="J595">
        <v>0.3</v>
      </c>
    </row>
    <row r="596">
      <c r="H596" t="str">
        <v>Election losers accept results</v>
      </c>
      <c r="I596">
        <f>3.6/4</f>
        <v>0.9</v>
      </c>
      <c r="J596">
        <v>0.3</v>
      </c>
    </row>
    <row r="597">
      <c r="H597" t="str">
        <v>Election government intimidation</v>
      </c>
      <c r="I597">
        <f>3/4</f>
        <v>0.75</v>
      </c>
      <c r="J597">
        <v>0.4</v>
      </c>
    </row>
    <row r="598">
      <c r="B598" t="str">
        <v>Democratic memory</v>
      </c>
      <c r="C598">
        <f>(F598*G598)+(F600*G600)</f>
        <v>0.0336</v>
      </c>
      <c r="D598">
        <v>0.1</v>
      </c>
      <c r="E598" t="str">
        <v>Reparations</v>
      </c>
      <c r="F598">
        <f>(J598*I598)+(I599*J599)</f>
        <v>0</v>
      </c>
      <c r="G598">
        <v>0.6</v>
      </c>
      <c r="H598" t="str">
        <v>Truth commission</v>
      </c>
      <c r="I598">
        <v>0</v>
      </c>
      <c r="J598">
        <v>0.5</v>
      </c>
    </row>
    <row r="599">
      <c r="H599" t="str">
        <v>Reparatory policies</v>
      </c>
      <c r="I599">
        <v>0</v>
      </c>
      <c r="J599">
        <v>0.5</v>
      </c>
    </row>
    <row r="600">
      <c r="E600" t="str">
        <v>Legal</v>
      </c>
      <c r="F600">
        <f>(J600*I600)+(I601*J601)</f>
        <v>0.084</v>
      </c>
      <c r="G600">
        <v>0.4</v>
      </c>
      <c r="H600" t="str">
        <v>Amnesty law</v>
      </c>
      <c r="I600">
        <v>0</v>
      </c>
      <c r="J600">
        <v>0.6</v>
      </c>
    </row>
    <row r="601">
      <c r="H601" t="str">
        <v>Domestic trials</v>
      </c>
      <c r="I601">
        <v>0.21</v>
      </c>
      <c r="J601">
        <v>0.4</v>
      </c>
    </row>
    <row r="604">
      <c r="A604" t="str">
        <v>State</v>
      </c>
      <c r="B604" t="str">
        <v>Variable</v>
      </c>
      <c r="C604" t="str">
        <v>SCORE VAR</v>
      </c>
      <c r="D604" t="str">
        <v>% VAR</v>
      </c>
      <c r="E604" t="str">
        <v>Dimension</v>
      </c>
      <c r="F604" t="str">
        <v>SCORE DIM</v>
      </c>
      <c r="G604" t="str">
        <v>% DIM</v>
      </c>
      <c r="H604" t="str">
        <v>Indicator</v>
      </c>
      <c r="I604" t="str">
        <v>SCORE IND</v>
      </c>
      <c r="J604" t="str">
        <v>% IND</v>
      </c>
      <c r="K604" t="str">
        <v>TOTAL INDEX</v>
      </c>
    </row>
    <row r="605">
      <c r="A605" t="str">
        <v>Togo</v>
      </c>
      <c r="B605" t="str">
        <v>Institutional Integrity</v>
      </c>
      <c r="C605">
        <f>(G605*F605)+(G609*F609)+(G611*F611)+(G614*F614)</f>
        <v>0.315789</v>
      </c>
      <c r="D605">
        <v>0.3</v>
      </c>
      <c r="E605" t="str">
        <v>Rule of Law</v>
      </c>
      <c r="F605">
        <f>(J605*I605)+(J606*I606)+(J607*I607)+(J608*I608)</f>
        <v>0.25525</v>
      </c>
      <c r="G605">
        <v>0.3</v>
      </c>
      <c r="H605" t="str">
        <v>Equal protection index</v>
      </c>
      <c r="I605">
        <v>0.64</v>
      </c>
      <c r="J605">
        <v>0.15</v>
      </c>
      <c r="K605">
        <f>(C605*D605)+(C616*D616)+(C627*D627)+(C631*D631)+(C638*D638)</f>
        <v>0.40560295</v>
      </c>
    </row>
    <row r="606">
      <c r="H606" t="str">
        <v>Rule of law index</v>
      </c>
      <c r="I606">
        <v>0.21</v>
      </c>
      <c r="J606">
        <v>0.5</v>
      </c>
    </row>
    <row r="607">
      <c r="H607" t="str">
        <v>Civil rights</v>
      </c>
      <c r="I607">
        <f>1.75/10</f>
        <v>0.175</v>
      </c>
      <c r="J607">
        <v>0.15</v>
      </c>
    </row>
    <row r="608">
      <c r="H608" t="str">
        <v>Access to justice</v>
      </c>
      <c r="I608">
        <v>0.14</v>
      </c>
      <c r="J608">
        <v>0.2</v>
      </c>
    </row>
    <row r="609">
      <c r="E609" t="str">
        <v>Separation of powers</v>
      </c>
      <c r="F609">
        <f>(J609*I609)+(I610*J610)</f>
        <v>0.29025</v>
      </c>
      <c r="G609">
        <v>0.25</v>
      </c>
      <c r="H609" t="str">
        <v>Separations of power</v>
      </c>
      <c r="I609">
        <f>3/10</f>
        <v>0.3</v>
      </c>
      <c r="J609">
        <v>0.7</v>
      </c>
    </row>
    <row r="610">
      <c r="H610" t="str">
        <v>High court independence</v>
      </c>
      <c r="I610">
        <f>1.07/4</f>
        <v>0.2675</v>
      </c>
      <c r="J610">
        <v>0.3</v>
      </c>
    </row>
    <row r="611">
      <c r="E611" t="str">
        <v>Accountability</v>
      </c>
      <c r="F611">
        <f>(J611*I611)+(I612*J612)+(I613*J613)</f>
        <v>0.412505</v>
      </c>
      <c r="G611">
        <v>0.3</v>
      </c>
      <c r="H611" t="str">
        <v>Control of corruption</v>
      </c>
      <c r="I611">
        <f>34.43/100</f>
        <v>0.3443</v>
      </c>
      <c r="J611">
        <v>0.35</v>
      </c>
    </row>
    <row r="612">
      <c r="H612" t="str">
        <v>Corruption perceptions index (2024)</v>
      </c>
      <c r="I612">
        <f>32/100</f>
        <v>0.32</v>
      </c>
      <c r="J612">
        <v>0.3</v>
      </c>
    </row>
    <row r="613">
      <c r="H613" t="str">
        <v>Diagonal accountability index</v>
      </c>
      <c r="I613">
        <v>0.56</v>
      </c>
      <c r="J613">
        <v>0.35</v>
      </c>
    </row>
    <row r="614">
      <c r="E614" t="str">
        <v>Transparency</v>
      </c>
      <c r="F614">
        <f>(J614*I614)+(I615*J615)</f>
        <v>0.286</v>
      </c>
      <c r="G614">
        <v>0.15</v>
      </c>
      <c r="H614" t="str">
        <v>Open government index</v>
      </c>
      <c r="I614">
        <v>0.3</v>
      </c>
      <c r="J614">
        <v>0.6</v>
      </c>
    </row>
    <row r="615">
      <c r="H615" t="str">
        <v>Government censorship effort</v>
      </c>
      <c r="I615">
        <f>1.06/4</f>
        <v>0.265</v>
      </c>
      <c r="J615">
        <v>0.4</v>
      </c>
    </row>
    <row r="616">
      <c r="B616" t="str">
        <v>Socio-economic development</v>
      </c>
      <c r="C616">
        <f>(G616*F616)+(F620*G620)+(F624*G624)</f>
        <v>0.5017125</v>
      </c>
      <c r="D616">
        <v>0.2</v>
      </c>
      <c r="E616" t="str">
        <v>Welfare Frameworks</v>
      </c>
      <c r="F616">
        <f>(J616*I616)+(J617*I617)+(J618*I618)+(J619*I619)</f>
        <v>0.3995</v>
      </c>
      <c r="G616">
        <v>0.35</v>
      </c>
      <c r="H616" t="str">
        <v>Social safety nets</v>
      </c>
      <c r="I616">
        <f>3/10</f>
        <v>0.3</v>
      </c>
      <c r="J616">
        <v>0.3</v>
      </c>
    </row>
    <row r="617">
      <c r="H617" t="str">
        <v>Educational equality</v>
      </c>
      <c r="I617">
        <f>2.56/4</f>
        <v>0.64</v>
      </c>
      <c r="J617">
        <v>0.2</v>
      </c>
    </row>
    <row r="618">
      <c r="H618" t="str">
        <v>Health equality</v>
      </c>
      <c r="I618">
        <f>0.96/4</f>
        <v>0.24</v>
      </c>
      <c r="J618">
        <v>0.2</v>
      </c>
    </row>
    <row r="619">
      <c r="H619" t="str">
        <v>Access to public services by socio-economic position (2023)</v>
      </c>
      <c r="I619">
        <f>1.78/4</f>
        <v>0.445</v>
      </c>
      <c r="J619">
        <v>0.3</v>
      </c>
    </row>
    <row r="620">
      <c r="E620" t="str">
        <v>Living Standards</v>
      </c>
      <c r="F620">
        <f>(J620*I620)+(J621*I621)+(J622*I622)</f>
        <v>0.6355</v>
      </c>
      <c r="G620">
        <v>0.4</v>
      </c>
      <c r="H620" t="str">
        <v>HDI</v>
      </c>
      <c r="I620">
        <v>0.571</v>
      </c>
      <c r="J620">
        <v>0.5</v>
      </c>
    </row>
    <row r="621">
      <c r="H621" t="str">
        <v>Infant mortality rate (inverted)</v>
      </c>
      <c r="I621">
        <v>0.65</v>
      </c>
      <c r="J621">
        <v>0.3</v>
      </c>
    </row>
    <row r="622">
      <c r="H622" t="str">
        <v>Freedom of academic &amp; cultural expression</v>
      </c>
      <c r="I622">
        <f>3.1/4</f>
        <v>0.775</v>
      </c>
      <c r="J622">
        <v>0.2</v>
      </c>
    </row>
    <row r="624">
      <c r="E624" t="str">
        <v>Distribution of Resources</v>
      </c>
      <c r="F624">
        <f>(J624*I624)+(I625*J625)+(I626*J626)</f>
        <v>0.43075</v>
      </c>
      <c r="G624">
        <v>0.25</v>
      </c>
      <c r="H624" t="str">
        <v>Gini Coefficient (inverted) (2021)</v>
      </c>
      <c r="I624">
        <f>(100-37.9)/100</f>
        <v>0.621</v>
      </c>
      <c r="J624">
        <v>0.25</v>
      </c>
    </row>
    <row r="625">
      <c r="H625" t="str">
        <v>Power distributed by socioeconomic position</v>
      </c>
      <c r="I625">
        <f>1.08/4</f>
        <v>0.27</v>
      </c>
      <c r="J625">
        <v>0.5</v>
      </c>
    </row>
    <row r="626">
      <c r="H626" t="str">
        <v>Poverty headcount ratio (inverted) (2021)</v>
      </c>
      <c r="I626">
        <f>(100-43.8)/100</f>
        <v>0.562</v>
      </c>
      <c r="J626">
        <v>0.25</v>
      </c>
    </row>
    <row r="627">
      <c r="B627" t="str">
        <v>Responsiveness</v>
      </c>
      <c r="C627">
        <f>(G627*F627)+(F629*G629)</f>
        <v>0.4727</v>
      </c>
      <c r="D627">
        <v>0.2</v>
      </c>
      <c r="E627" t="str">
        <v>Discourse</v>
      </c>
      <c r="F627">
        <f>(J627*I627)+(I628*J628)</f>
        <v>0.7326666667</v>
      </c>
      <c r="G627">
        <v>0.45</v>
      </c>
      <c r="H627" t="str">
        <v>Deliberative component index</v>
      </c>
      <c r="I627">
        <v>0.71</v>
      </c>
      <c r="J627">
        <v>0.6</v>
      </c>
    </row>
    <row r="628">
      <c r="H628" t="str">
        <v>Reasoned justification</v>
      </c>
      <c r="I628">
        <f>2.3/3</f>
        <v>0.7666666667</v>
      </c>
      <c r="J628">
        <v>0.4</v>
      </c>
    </row>
    <row r="629">
      <c r="E629" t="str">
        <v>Policies and legitimacy</v>
      </c>
      <c r="F629">
        <f>(J629*I629)+(I630*J630)</f>
        <v>0.26</v>
      </c>
      <c r="G629">
        <v>0.55</v>
      </c>
      <c r="H629" t="str">
        <v>Steering Capability</v>
      </c>
      <c r="I629">
        <f>((5+4+4)/3)/10</f>
        <v>0.4333333333</v>
      </c>
      <c r="J629">
        <v>0.6</v>
      </c>
    </row>
    <row r="630">
      <c r="H630" t="str">
        <v>Approval of democracy (n/a)</v>
      </c>
      <c r="J630">
        <v>0.4</v>
      </c>
    </row>
    <row r="631">
      <c r="B631" t="str">
        <v>Electoral Integrity</v>
      </c>
      <c r="C631">
        <f>(F631*G631)+(F635*G635)</f>
        <v>0.57191875</v>
      </c>
      <c r="D631">
        <v>0.2</v>
      </c>
      <c r="E631" t="str">
        <v>Free and fair elections</v>
      </c>
      <c r="F631">
        <f>(J631*I631)+(J632*I632)+(J633*I633)+(J634*I634)</f>
        <v>0.559375</v>
      </c>
      <c r="G631">
        <v>0.55</v>
      </c>
      <c r="H631" t="str">
        <v>Clean elections index</v>
      </c>
      <c r="I631">
        <v>0.31</v>
      </c>
      <c r="J631">
        <v>0.35</v>
      </c>
    </row>
    <row r="632">
      <c r="H632" t="str">
        <v>Election free and fair</v>
      </c>
      <c r="I632">
        <f>2.32/4</f>
        <v>0.58</v>
      </c>
      <c r="J632">
        <v>0.35</v>
      </c>
    </row>
    <row r="633">
      <c r="H633" t="str">
        <v>Opposition parties autonomy</v>
      </c>
      <c r="I633">
        <f>2.61/4</f>
        <v>0.6525</v>
      </c>
      <c r="J633">
        <v>0.15</v>
      </c>
    </row>
    <row r="634">
      <c r="H634" t="str">
        <v>Share of population with suffrage</v>
      </c>
      <c r="I634">
        <v>1</v>
      </c>
      <c r="J634">
        <v>0.15</v>
      </c>
    </row>
    <row r="635">
      <c r="E635" t="str">
        <v>Peaceful transition of power</v>
      </c>
      <c r="F635">
        <f>(J635*I635)+(I636*J636)+(I637*J637)</f>
        <v>0.58725</v>
      </c>
      <c r="G635">
        <v>0.45</v>
      </c>
      <c r="H635" t="str">
        <v>Election other electoral violence</v>
      </c>
      <c r="I635">
        <f>2.92/4</f>
        <v>0.73</v>
      </c>
      <c r="J635">
        <v>0.3</v>
      </c>
    </row>
    <row r="636">
      <c r="H636" t="str">
        <v>Election losers accept results</v>
      </c>
      <c r="I636">
        <f>2.11/4</f>
        <v>0.5275</v>
      </c>
      <c r="J636">
        <v>0.3</v>
      </c>
    </row>
    <row r="637">
      <c r="H637" t="str">
        <v>Election government intimidation</v>
      </c>
      <c r="I637">
        <f>2.1/4</f>
        <v>0.525</v>
      </c>
      <c r="J637">
        <v>0.4</v>
      </c>
    </row>
    <row r="638">
      <c r="B638" t="str">
        <v>Democratic memory</v>
      </c>
      <c r="C638">
        <f>(F638*G638)+(F640*G640)</f>
        <v>0.016</v>
      </c>
      <c r="D638">
        <v>0.1</v>
      </c>
      <c r="E638" t="str">
        <v>Legal</v>
      </c>
      <c r="F638">
        <f>(J640*I640)+(I641*J641)</f>
        <v>0.016</v>
      </c>
      <c r="G638">
        <v>1</v>
      </c>
      <c r="H638" t="str">
        <v>Amnesty law</v>
      </c>
      <c r="I638">
        <v>0</v>
      </c>
      <c r="J638">
        <v>0.6</v>
      </c>
    </row>
    <row r="641">
      <c r="H641" t="str">
        <v>Domestic trials</v>
      </c>
      <c r="I641">
        <v>0.04</v>
      </c>
      <c r="J641">
        <v>0.4</v>
      </c>
    </row>
  </sheetData>
  <mergeCells count="944">
    <mergeCell ref="E2:E5"/>
    <mergeCell ref="E6:E7"/>
    <mergeCell ref="F6:F7"/>
    <mergeCell ref="G6:G7"/>
    <mergeCell ref="E8:E10"/>
    <mergeCell ref="F8:F10"/>
    <mergeCell ref="D2:D12"/>
    <mergeCell ref="E11:E12"/>
    <mergeCell ref="F11:F12"/>
    <mergeCell ref="G11:G12"/>
    <mergeCell ref="B13:B23"/>
    <mergeCell ref="C13:C23"/>
    <mergeCell ref="F13:F16"/>
    <mergeCell ref="G13:G16"/>
    <mergeCell ref="D13:D23"/>
    <mergeCell ref="E13:E16"/>
    <mergeCell ref="E17:E20"/>
    <mergeCell ref="E21:E23"/>
    <mergeCell ref="F17:F20"/>
    <mergeCell ref="G17:G20"/>
    <mergeCell ref="H19:H20"/>
    <mergeCell ref="I19:I20"/>
    <mergeCell ref="F2:F5"/>
    <mergeCell ref="F21:F23"/>
    <mergeCell ref="C24:C27"/>
    <mergeCell ref="D24:D27"/>
    <mergeCell ref="E24:E25"/>
    <mergeCell ref="F24:F25"/>
    <mergeCell ref="G24:G25"/>
    <mergeCell ref="E26:E27"/>
    <mergeCell ref="B2:B12"/>
    <mergeCell ref="B24:B27"/>
    <mergeCell ref="F35:F36"/>
    <mergeCell ref="G35:G36"/>
    <mergeCell ref="E37:E38"/>
    <mergeCell ref="F37:F38"/>
    <mergeCell ref="A2:A38"/>
    <mergeCell ref="C2:C12"/>
    <mergeCell ref="G2:G5"/>
    <mergeCell ref="K2:K38"/>
    <mergeCell ref="G8:G10"/>
    <mergeCell ref="J19:J20"/>
    <mergeCell ref="G21:G23"/>
    <mergeCell ref="G37:G38"/>
    <mergeCell ref="F51:F52"/>
    <mergeCell ref="G51:G52"/>
    <mergeCell ref="F53:F56"/>
    <mergeCell ref="G53:G56"/>
    <mergeCell ref="F57:F60"/>
    <mergeCell ref="G57:G60"/>
    <mergeCell ref="H59:H60"/>
    <mergeCell ref="I59:I60"/>
    <mergeCell ref="G61:G63"/>
    <mergeCell ref="F64:F65"/>
    <mergeCell ref="G64:G65"/>
    <mergeCell ref="F66:F67"/>
    <mergeCell ref="G66:G67"/>
    <mergeCell ref="F68:F71"/>
    <mergeCell ref="G68:G71"/>
    <mergeCell ref="C82:C92"/>
    <mergeCell ref="B93:B103"/>
    <mergeCell ref="C93:C103"/>
    <mergeCell ref="B35:B38"/>
    <mergeCell ref="C35:C38"/>
    <mergeCell ref="A42:A78"/>
    <mergeCell ref="B42:B52"/>
    <mergeCell ref="C42:C52"/>
    <mergeCell ref="C53:C63"/>
    <mergeCell ref="A82:A118"/>
    <mergeCell ref="B68:B74"/>
    <mergeCell ref="C68:C74"/>
    <mergeCell ref="B75:B78"/>
    <mergeCell ref="C75:C78"/>
    <mergeCell ref="B53:B63"/>
    <mergeCell ref="B82:B92"/>
    <mergeCell ref="B104:B107"/>
    <mergeCell ref="C104:C107"/>
    <mergeCell ref="B108:B114"/>
    <mergeCell ref="C108:C114"/>
    <mergeCell ref="B162:B172"/>
    <mergeCell ref="B173:B183"/>
    <mergeCell ref="C173:C183"/>
    <mergeCell ref="C184:C187"/>
    <mergeCell ref="B184:B187"/>
    <mergeCell ref="B188:B194"/>
    <mergeCell ref="G213:G216"/>
    <mergeCell ref="F221:F223"/>
    <mergeCell ref="G221:G223"/>
    <mergeCell ref="C162:C172"/>
    <mergeCell ref="C188:C194"/>
    <mergeCell ref="C195:C198"/>
    <mergeCell ref="C202:C212"/>
    <mergeCell ref="K202:K238"/>
    <mergeCell ref="C213:C223"/>
    <mergeCell ref="J219:J220"/>
    <mergeCell ref="B115:B118"/>
    <mergeCell ref="C115:C118"/>
    <mergeCell ref="C122:C132"/>
    <mergeCell ref="C133:C143"/>
    <mergeCell ref="C144:C147"/>
    <mergeCell ref="C148:C154"/>
    <mergeCell ref="C155:C158"/>
    <mergeCell ref="A162:A198"/>
    <mergeCell ref="A202:A238"/>
    <mergeCell ref="B202:B212"/>
    <mergeCell ref="B213:B223"/>
    <mergeCell ref="B224:B227"/>
    <mergeCell ref="B228:B234"/>
    <mergeCell ref="B235:B238"/>
    <mergeCell ref="C235:C238"/>
    <mergeCell ref="D235:D238"/>
    <mergeCell ref="A122:A158"/>
    <mergeCell ref="B122:B132"/>
    <mergeCell ref="B133:B143"/>
    <mergeCell ref="B144:B147"/>
    <mergeCell ref="B148:B154"/>
    <mergeCell ref="B155:B158"/>
    <mergeCell ref="B195:B198"/>
    <mergeCell ref="E213:E216"/>
    <mergeCell ref="F213:F216"/>
    <mergeCell ref="H219:H220"/>
    <mergeCell ref="I219:I220"/>
    <mergeCell ref="E237:E238"/>
    <mergeCell ref="F237:F238"/>
    <mergeCell ref="G237:G238"/>
    <mergeCell ref="F217:F220"/>
    <mergeCell ref="G217:G220"/>
    <mergeCell ref="F232:F234"/>
    <mergeCell ref="G232:G234"/>
    <mergeCell ref="E235:E236"/>
    <mergeCell ref="F235:F236"/>
    <mergeCell ref="G235:G236"/>
    <mergeCell ref="G228:G231"/>
    <mergeCell ref="E232:E234"/>
    <mergeCell ref="E246:E247"/>
    <mergeCell ref="E251:E252"/>
    <mergeCell ref="F251:F252"/>
    <mergeCell ref="G251:G252"/>
    <mergeCell ref="E253:E256"/>
    <mergeCell ref="F253:F256"/>
    <mergeCell ref="E242:E245"/>
    <mergeCell ref="E257:E260"/>
    <mergeCell ref="F257:F260"/>
    <mergeCell ref="G257:G260"/>
    <mergeCell ref="H259:H260"/>
    <mergeCell ref="I259:I260"/>
    <mergeCell ref="D213:D223"/>
    <mergeCell ref="E217:E220"/>
    <mergeCell ref="E221:E223"/>
    <mergeCell ref="C224:C227"/>
    <mergeCell ref="D224:D227"/>
    <mergeCell ref="E224:E225"/>
    <mergeCell ref="F224:F225"/>
    <mergeCell ref="G224:G225"/>
    <mergeCell ref="E226:E227"/>
    <mergeCell ref="F226:F227"/>
    <mergeCell ref="G226:G227"/>
    <mergeCell ref="F246:F247"/>
    <mergeCell ref="G246:G247"/>
    <mergeCell ref="E248:E250"/>
    <mergeCell ref="F248:F250"/>
    <mergeCell ref="C253:C263"/>
    <mergeCell ref="D253:D263"/>
    <mergeCell ref="F261:F263"/>
    <mergeCell ref="G261:G263"/>
    <mergeCell ref="J259:J260"/>
    <mergeCell ref="E261:E263"/>
    <mergeCell ref="E264:E265"/>
    <mergeCell ref="F264:F265"/>
    <mergeCell ref="G264:G265"/>
    <mergeCell ref="E266:E267"/>
    <mergeCell ref="F266:F267"/>
    <mergeCell ref="G266:G267"/>
    <mergeCell ref="E268:E271"/>
    <mergeCell ref="F268:F271"/>
    <mergeCell ref="G268:G271"/>
    <mergeCell ref="E272:E274"/>
    <mergeCell ref="F272:F274"/>
    <mergeCell ref="G272:G274"/>
    <mergeCell ref="G275:G276"/>
    <mergeCell ref="E277:E278"/>
    <mergeCell ref="F277:F278"/>
    <mergeCell ref="G277:G278"/>
    <mergeCell ref="F286:F287"/>
    <mergeCell ref="G286:G287"/>
    <mergeCell ref="E288:E290"/>
    <mergeCell ref="F288:F290"/>
    <mergeCell ref="E286:E287"/>
    <mergeCell ref="E291:E292"/>
    <mergeCell ref="F291:F292"/>
    <mergeCell ref="G291:G292"/>
    <mergeCell ref="E293:E296"/>
    <mergeCell ref="F293:F296"/>
    <mergeCell ref="E282:E285"/>
    <mergeCell ref="E297:E300"/>
    <mergeCell ref="F297:F300"/>
    <mergeCell ref="G297:G300"/>
    <mergeCell ref="H299:H300"/>
    <mergeCell ref="I299:I300"/>
    <mergeCell ref="C304:C307"/>
    <mergeCell ref="C308:C314"/>
    <mergeCell ref="D308:D314"/>
    <mergeCell ref="C315:C318"/>
    <mergeCell ref="D315:D318"/>
    <mergeCell ref="C322:C332"/>
    <mergeCell ref="D322:D332"/>
    <mergeCell ref="E362:E365"/>
    <mergeCell ref="F362:F365"/>
    <mergeCell ref="G362:G365"/>
    <mergeCell ref="B322:B332"/>
    <mergeCell ref="B333:B343"/>
    <mergeCell ref="C333:C343"/>
    <mergeCell ref="D333:D343"/>
    <mergeCell ref="B344:B347"/>
    <mergeCell ref="C344:C347"/>
    <mergeCell ref="D344:D347"/>
    <mergeCell ref="C388:C394"/>
    <mergeCell ref="D388:D394"/>
    <mergeCell ref="B373:B383"/>
    <mergeCell ref="C373:C383"/>
    <mergeCell ref="D373:D383"/>
    <mergeCell ref="B384:B387"/>
    <mergeCell ref="C384:C387"/>
    <mergeCell ref="D384:D387"/>
    <mergeCell ref="B388:B394"/>
    <mergeCell ref="G456:G459"/>
    <mergeCell ref="G460:G463"/>
    <mergeCell ref="G449:G450"/>
    <mergeCell ref="G464:G466"/>
    <mergeCell ref="G467:G468"/>
    <mergeCell ref="G469:G470"/>
    <mergeCell ref="G471:G474"/>
    <mergeCell ref="G475:G477"/>
    <mergeCell ref="G478:G479"/>
    <mergeCell ref="F434:F437"/>
    <mergeCell ref="G434:G437"/>
    <mergeCell ref="E427:E430"/>
    <mergeCell ref="F427:F430"/>
    <mergeCell ref="G427:G430"/>
    <mergeCell ref="E431:E433"/>
    <mergeCell ref="F431:F433"/>
    <mergeCell ref="G431:G433"/>
    <mergeCell ref="E434:E437"/>
    <mergeCell ref="E445:E448"/>
    <mergeCell ref="F445:F448"/>
    <mergeCell ref="G445:G448"/>
    <mergeCell ref="E449:E450"/>
    <mergeCell ref="E451:E453"/>
    <mergeCell ref="E454:E455"/>
    <mergeCell ref="E456:E459"/>
    <mergeCell ref="E460:E463"/>
    <mergeCell ref="E464:E466"/>
    <mergeCell ref="E467:E468"/>
    <mergeCell ref="E469:E470"/>
    <mergeCell ref="E471:E474"/>
    <mergeCell ref="E475:E477"/>
    <mergeCell ref="E478:E479"/>
    <mergeCell ref="E480:E481"/>
    <mergeCell ref="E485:E488"/>
    <mergeCell ref="F485:F488"/>
    <mergeCell ref="G485:G488"/>
    <mergeCell ref="E489:E490"/>
    <mergeCell ref="F491:F493"/>
    <mergeCell ref="G491:G493"/>
    <mergeCell ref="E491:E493"/>
    <mergeCell ref="E494:E495"/>
    <mergeCell ref="F494:F495"/>
    <mergeCell ref="G494:G495"/>
    <mergeCell ref="E496:E499"/>
    <mergeCell ref="F496:F499"/>
    <mergeCell ref="G496:G499"/>
    <mergeCell ref="E509:E510"/>
    <mergeCell ref="F509:F510"/>
    <mergeCell ref="G509:G510"/>
    <mergeCell ref="F328:F330"/>
    <mergeCell ref="F341:F343"/>
    <mergeCell ref="F355:F356"/>
    <mergeCell ref="G355:G356"/>
    <mergeCell ref="F357:F358"/>
    <mergeCell ref="G357:G358"/>
    <mergeCell ref="G366:G367"/>
    <mergeCell ref="F368:F370"/>
    <mergeCell ref="G368:G370"/>
    <mergeCell ref="F371:F372"/>
    <mergeCell ref="G371:G372"/>
    <mergeCell ref="F373:F376"/>
    <mergeCell ref="G373:G376"/>
    <mergeCell ref="F377:F380"/>
    <mergeCell ref="G377:G380"/>
    <mergeCell ref="H339:H340"/>
    <mergeCell ref="I339:I340"/>
    <mergeCell ref="F331:F332"/>
    <mergeCell ref="G331:G332"/>
    <mergeCell ref="E333:E336"/>
    <mergeCell ref="F333:F336"/>
    <mergeCell ref="G333:G336"/>
    <mergeCell ref="F337:F340"/>
    <mergeCell ref="G337:G340"/>
    <mergeCell ref="G341:G343"/>
    <mergeCell ref="F344:F345"/>
    <mergeCell ref="G344:G345"/>
    <mergeCell ref="F346:F347"/>
    <mergeCell ref="G346:G347"/>
    <mergeCell ref="F348:F351"/>
    <mergeCell ref="G348:G351"/>
    <mergeCell ref="F352:F354"/>
    <mergeCell ref="G352:G354"/>
    <mergeCell ref="E337:E340"/>
    <mergeCell ref="E341:E343"/>
    <mergeCell ref="E344:E345"/>
    <mergeCell ref="E346:E347"/>
    <mergeCell ref="E348:E351"/>
    <mergeCell ref="E352:E354"/>
    <mergeCell ref="E355:E356"/>
    <mergeCell ref="J379:J380"/>
    <mergeCell ref="F381:F383"/>
    <mergeCell ref="G381:G383"/>
    <mergeCell ref="F384:F385"/>
    <mergeCell ref="G384:G385"/>
    <mergeCell ref="F386:F387"/>
    <mergeCell ref="G386:G387"/>
    <mergeCell ref="F388:F391"/>
    <mergeCell ref="G388:G391"/>
    <mergeCell ref="F392:F394"/>
    <mergeCell ref="G392:G394"/>
    <mergeCell ref="F395:F396"/>
    <mergeCell ref="G395:G396"/>
    <mergeCell ref="F397:F398"/>
    <mergeCell ref="G397:G398"/>
    <mergeCell ref="E357:E358"/>
    <mergeCell ref="E366:E367"/>
    <mergeCell ref="E368:E370"/>
    <mergeCell ref="E371:E372"/>
    <mergeCell ref="E373:E376"/>
    <mergeCell ref="H379:H380"/>
    <mergeCell ref="I379:I380"/>
    <mergeCell ref="E377:E380"/>
    <mergeCell ref="E381:E383"/>
    <mergeCell ref="E384:E385"/>
    <mergeCell ref="E386:E387"/>
    <mergeCell ref="E388:E391"/>
    <mergeCell ref="E392:E394"/>
    <mergeCell ref="E395:E396"/>
    <mergeCell ref="E397:E398"/>
    <mergeCell ref="E401:E404"/>
    <mergeCell ref="F401:F404"/>
    <mergeCell ref="G401:G404"/>
    <mergeCell ref="E405:E406"/>
    <mergeCell ref="F405:F406"/>
    <mergeCell ref="G405:G406"/>
    <mergeCell ref="F412:F415"/>
    <mergeCell ref="G412:G415"/>
    <mergeCell ref="E407:E409"/>
    <mergeCell ref="F407:F409"/>
    <mergeCell ref="G407:G409"/>
    <mergeCell ref="E410:E411"/>
    <mergeCell ref="F410:F411"/>
    <mergeCell ref="G410:G411"/>
    <mergeCell ref="E412:E415"/>
    <mergeCell ref="E416:E419"/>
    <mergeCell ref="F416:F419"/>
    <mergeCell ref="G416:G419"/>
    <mergeCell ref="H418:H419"/>
    <mergeCell ref="I418:I419"/>
    <mergeCell ref="F420:F422"/>
    <mergeCell ref="G420:G422"/>
    <mergeCell ref="E420:E422"/>
    <mergeCell ref="E423:E424"/>
    <mergeCell ref="F423:F424"/>
    <mergeCell ref="G423:G424"/>
    <mergeCell ref="E425:E426"/>
    <mergeCell ref="F425:F426"/>
    <mergeCell ref="G425:G426"/>
    <mergeCell ref="I502:I503"/>
    <mergeCell ref="J502:J503"/>
    <mergeCell ref="K525:K561"/>
    <mergeCell ref="I542:I543"/>
    <mergeCell ref="J542:J543"/>
    <mergeCell ref="K401:K437"/>
    <mergeCell ref="J418:J419"/>
    <mergeCell ref="I434:I436"/>
    <mergeCell ref="J434:J436"/>
    <mergeCell ref="K445:K481"/>
    <mergeCell ref="J462:J463"/>
    <mergeCell ref="K485:K521"/>
    <mergeCell ref="F315:F316"/>
    <mergeCell ref="G315:G316"/>
    <mergeCell ref="K322:K358"/>
    <mergeCell ref="G326:G327"/>
    <mergeCell ref="G328:G330"/>
    <mergeCell ref="J339:J340"/>
    <mergeCell ref="K362:K398"/>
    <mergeCell ref="G451:G453"/>
    <mergeCell ref="G454:G455"/>
    <mergeCell ref="H462:H463"/>
    <mergeCell ref="I462:I463"/>
    <mergeCell ref="F464:F466"/>
    <mergeCell ref="F467:F468"/>
    <mergeCell ref="F469:F470"/>
    <mergeCell ref="F471:F474"/>
    <mergeCell ref="F475:F477"/>
    <mergeCell ref="F478:F479"/>
    <mergeCell ref="F480:F481"/>
    <mergeCell ref="F489:F490"/>
    <mergeCell ref="F326:F327"/>
    <mergeCell ref="F366:F367"/>
    <mergeCell ref="F449:F450"/>
    <mergeCell ref="F451:F453"/>
    <mergeCell ref="F454:F455"/>
    <mergeCell ref="F456:F459"/>
    <mergeCell ref="F460:F463"/>
    <mergeCell ref="G480:G481"/>
    <mergeCell ref="G489:G490"/>
    <mergeCell ref="H434:H436"/>
    <mergeCell ref="H502:H503"/>
    <mergeCell ref="E531:E533"/>
    <mergeCell ref="F531:F533"/>
    <mergeCell ref="G531:G533"/>
    <mergeCell ref="E534:E535"/>
    <mergeCell ref="F534:F535"/>
    <mergeCell ref="G534:G535"/>
    <mergeCell ref="E536:E539"/>
    <mergeCell ref="F536:F539"/>
    <mergeCell ref="G536:G539"/>
    <mergeCell ref="H542:H543"/>
    <mergeCell ref="G549:G550"/>
    <mergeCell ref="E551:E554"/>
    <mergeCell ref="F551:F554"/>
    <mergeCell ref="G551:G554"/>
    <mergeCell ref="F560:F561"/>
    <mergeCell ref="G560:G561"/>
    <mergeCell ref="E555:E557"/>
    <mergeCell ref="F555:F557"/>
    <mergeCell ref="G555:G557"/>
    <mergeCell ref="E558:E559"/>
    <mergeCell ref="F558:F559"/>
    <mergeCell ref="G558:G559"/>
    <mergeCell ref="E560:E561"/>
    <mergeCell ref="F48:F50"/>
    <mergeCell ref="F61:F63"/>
    <mergeCell ref="F75:F76"/>
    <mergeCell ref="G75:G76"/>
    <mergeCell ref="F88:F90"/>
    <mergeCell ref="G88:G90"/>
    <mergeCell ref="F91:F92"/>
    <mergeCell ref="G91:G92"/>
    <mergeCell ref="F93:F96"/>
    <mergeCell ref="G93:G96"/>
    <mergeCell ref="F97:F100"/>
    <mergeCell ref="G97:G100"/>
    <mergeCell ref="H99:H100"/>
    <mergeCell ref="I99:I100"/>
    <mergeCell ref="F86:F87"/>
    <mergeCell ref="F101:F103"/>
    <mergeCell ref="F77:F78"/>
    <mergeCell ref="G77:G78"/>
    <mergeCell ref="F82:F85"/>
    <mergeCell ref="G82:G85"/>
    <mergeCell ref="K82:K118"/>
    <mergeCell ref="G86:G87"/>
    <mergeCell ref="J99:J100"/>
    <mergeCell ref="F32:F34"/>
    <mergeCell ref="G32:G34"/>
    <mergeCell ref="K42:K78"/>
    <mergeCell ref="F46:F47"/>
    <mergeCell ref="G46:G47"/>
    <mergeCell ref="G48:G50"/>
    <mergeCell ref="J59:J60"/>
    <mergeCell ref="G101:G103"/>
    <mergeCell ref="F104:F105"/>
    <mergeCell ref="G104:G105"/>
    <mergeCell ref="F106:F107"/>
    <mergeCell ref="G106:G107"/>
    <mergeCell ref="F108:F111"/>
    <mergeCell ref="G108:G111"/>
    <mergeCell ref="F112:F114"/>
    <mergeCell ref="G112:G114"/>
    <mergeCell ref="F115:F116"/>
    <mergeCell ref="G115:G116"/>
    <mergeCell ref="F117:F118"/>
    <mergeCell ref="G117:G118"/>
    <mergeCell ref="F26:F27"/>
    <mergeCell ref="G26:G27"/>
    <mergeCell ref="B28:B34"/>
    <mergeCell ref="C28:C34"/>
    <mergeCell ref="D28:D34"/>
    <mergeCell ref="E28:E31"/>
    <mergeCell ref="E32:E34"/>
    <mergeCell ref="F28:F31"/>
    <mergeCell ref="G28:G31"/>
    <mergeCell ref="D35:D38"/>
    <mergeCell ref="E35:E36"/>
    <mergeCell ref="D42:D52"/>
    <mergeCell ref="E42:E45"/>
    <mergeCell ref="F42:F45"/>
    <mergeCell ref="G42:G45"/>
    <mergeCell ref="E46:E47"/>
    <mergeCell ref="B64:B67"/>
    <mergeCell ref="C64:C67"/>
    <mergeCell ref="D64:D67"/>
    <mergeCell ref="E64:E65"/>
    <mergeCell ref="E66:E67"/>
    <mergeCell ref="E68:E71"/>
    <mergeCell ref="E72:E74"/>
    <mergeCell ref="F72:F74"/>
    <mergeCell ref="G72:G74"/>
    <mergeCell ref="E48:E50"/>
    <mergeCell ref="E51:E52"/>
    <mergeCell ref="D53:D63"/>
    <mergeCell ref="E53:E56"/>
    <mergeCell ref="E57:E60"/>
    <mergeCell ref="E61:E63"/>
    <mergeCell ref="D68:D74"/>
    <mergeCell ref="D82:D92"/>
    <mergeCell ref="D93:D103"/>
    <mergeCell ref="D104:D107"/>
    <mergeCell ref="D108:D114"/>
    <mergeCell ref="D115:D118"/>
    <mergeCell ref="D122:D132"/>
    <mergeCell ref="D75:D78"/>
    <mergeCell ref="E75:E76"/>
    <mergeCell ref="E77:E78"/>
    <mergeCell ref="E82:E85"/>
    <mergeCell ref="E86:E87"/>
    <mergeCell ref="E88:E90"/>
    <mergeCell ref="E91:E92"/>
    <mergeCell ref="E93:E96"/>
    <mergeCell ref="E97:E100"/>
    <mergeCell ref="E101:E103"/>
    <mergeCell ref="E104:E105"/>
    <mergeCell ref="E106:E107"/>
    <mergeCell ref="E108:E111"/>
    <mergeCell ref="E112:E114"/>
    <mergeCell ref="F126:F127"/>
    <mergeCell ref="G126:G127"/>
    <mergeCell ref="E128:E130"/>
    <mergeCell ref="F128:F130"/>
    <mergeCell ref="F131:F132"/>
    <mergeCell ref="G131:G132"/>
    <mergeCell ref="F122:F125"/>
    <mergeCell ref="F141:F143"/>
    <mergeCell ref="E148:E151"/>
    <mergeCell ref="F148:F151"/>
    <mergeCell ref="G148:G151"/>
    <mergeCell ref="E152:E154"/>
    <mergeCell ref="F152:F154"/>
    <mergeCell ref="G152:G154"/>
    <mergeCell ref="E155:E156"/>
    <mergeCell ref="F155:F156"/>
    <mergeCell ref="G155:G156"/>
    <mergeCell ref="E157:E158"/>
    <mergeCell ref="F157:F158"/>
    <mergeCell ref="G157:G158"/>
    <mergeCell ref="F166:F167"/>
    <mergeCell ref="G166:G167"/>
    <mergeCell ref="E168:E170"/>
    <mergeCell ref="F168:F170"/>
    <mergeCell ref="E122:E125"/>
    <mergeCell ref="E166:E167"/>
    <mergeCell ref="F186:F187"/>
    <mergeCell ref="G186:G187"/>
    <mergeCell ref="E188:E191"/>
    <mergeCell ref="F188:F191"/>
    <mergeCell ref="G188:G191"/>
    <mergeCell ref="E192:E194"/>
    <mergeCell ref="F192:F194"/>
    <mergeCell ref="G192:G194"/>
    <mergeCell ref="E195:E196"/>
    <mergeCell ref="F195:F196"/>
    <mergeCell ref="G195:G196"/>
    <mergeCell ref="E197:E198"/>
    <mergeCell ref="F197:F198"/>
    <mergeCell ref="G197:G198"/>
    <mergeCell ref="E115:E116"/>
    <mergeCell ref="E117:E118"/>
    <mergeCell ref="G122:G125"/>
    <mergeCell ref="K122:K158"/>
    <mergeCell ref="G128:G130"/>
    <mergeCell ref="J139:J140"/>
    <mergeCell ref="K162:K198"/>
    <mergeCell ref="G168:G170"/>
    <mergeCell ref="E171:E172"/>
    <mergeCell ref="F171:F172"/>
    <mergeCell ref="G171:G172"/>
    <mergeCell ref="E173:E176"/>
    <mergeCell ref="F173:F176"/>
    <mergeCell ref="G173:G176"/>
    <mergeCell ref="E177:E180"/>
    <mergeCell ref="F177:F180"/>
    <mergeCell ref="G177:G180"/>
    <mergeCell ref="H179:H180"/>
    <mergeCell ref="I179:I180"/>
    <mergeCell ref="J179:J180"/>
    <mergeCell ref="E181:E183"/>
    <mergeCell ref="F181:F183"/>
    <mergeCell ref="G181:G183"/>
    <mergeCell ref="E184:E185"/>
    <mergeCell ref="F184:F185"/>
    <mergeCell ref="G184:G185"/>
    <mergeCell ref="E186:E187"/>
    <mergeCell ref="E126:E127"/>
    <mergeCell ref="E131:E132"/>
    <mergeCell ref="D133:D143"/>
    <mergeCell ref="E133:E136"/>
    <mergeCell ref="E137:E140"/>
    <mergeCell ref="E141:E143"/>
    <mergeCell ref="D144:D147"/>
    <mergeCell ref="D148:D154"/>
    <mergeCell ref="D155:D158"/>
    <mergeCell ref="D162:D172"/>
    <mergeCell ref="D173:D183"/>
    <mergeCell ref="D184:D187"/>
    <mergeCell ref="D188:D194"/>
    <mergeCell ref="D195:D198"/>
    <mergeCell ref="E206:E207"/>
    <mergeCell ref="E211:E212"/>
    <mergeCell ref="F211:F212"/>
    <mergeCell ref="G211:G212"/>
    <mergeCell ref="D202:D212"/>
    <mergeCell ref="E202:E205"/>
    <mergeCell ref="F202:F205"/>
    <mergeCell ref="G202:G205"/>
    <mergeCell ref="F206:F207"/>
    <mergeCell ref="G206:G207"/>
    <mergeCell ref="G208:G210"/>
    <mergeCell ref="F133:F136"/>
    <mergeCell ref="G133:G136"/>
    <mergeCell ref="F137:F140"/>
    <mergeCell ref="G137:G140"/>
    <mergeCell ref="H139:H140"/>
    <mergeCell ref="I139:I140"/>
    <mergeCell ref="G141:G143"/>
    <mergeCell ref="F144:F145"/>
    <mergeCell ref="G144:G145"/>
    <mergeCell ref="E144:E145"/>
    <mergeCell ref="E146:E147"/>
    <mergeCell ref="E162:E165"/>
    <mergeCell ref="F162:F165"/>
    <mergeCell ref="G162:G165"/>
    <mergeCell ref="F146:F147"/>
    <mergeCell ref="G146:G147"/>
    <mergeCell ref="E208:E210"/>
    <mergeCell ref="F208:F210"/>
    <mergeCell ref="F308:F311"/>
    <mergeCell ref="G308:G311"/>
    <mergeCell ref="F317:F318"/>
    <mergeCell ref="G317:G318"/>
    <mergeCell ref="F275:F276"/>
    <mergeCell ref="F282:F285"/>
    <mergeCell ref="G282:G285"/>
    <mergeCell ref="K282:K318"/>
    <mergeCell ref="G288:G290"/>
    <mergeCell ref="G293:G296"/>
    <mergeCell ref="J299:J300"/>
    <mergeCell ref="E228:E231"/>
    <mergeCell ref="F228:F231"/>
    <mergeCell ref="F242:F245"/>
    <mergeCell ref="G242:G245"/>
    <mergeCell ref="K242:K278"/>
    <mergeCell ref="G248:G250"/>
    <mergeCell ref="G253:G256"/>
    <mergeCell ref="F301:F303"/>
    <mergeCell ref="G301:G303"/>
    <mergeCell ref="F304:F305"/>
    <mergeCell ref="G304:G305"/>
    <mergeCell ref="F306:F307"/>
    <mergeCell ref="G306:G307"/>
    <mergeCell ref="F312:F314"/>
    <mergeCell ref="G312:G314"/>
    <mergeCell ref="E317:E318"/>
    <mergeCell ref="E322:E325"/>
    <mergeCell ref="F322:F325"/>
    <mergeCell ref="G322:G325"/>
    <mergeCell ref="E326:E327"/>
    <mergeCell ref="E328:E330"/>
    <mergeCell ref="E331:E332"/>
    <mergeCell ref="E275:E276"/>
    <mergeCell ref="E301:E303"/>
    <mergeCell ref="E304:E305"/>
    <mergeCell ref="E306:E307"/>
    <mergeCell ref="E308:E311"/>
    <mergeCell ref="E312:E314"/>
    <mergeCell ref="E315:E316"/>
    <mergeCell ref="F507:F508"/>
    <mergeCell ref="G507:G508"/>
    <mergeCell ref="E500:E503"/>
    <mergeCell ref="F500:F503"/>
    <mergeCell ref="G500:G503"/>
    <mergeCell ref="E504:E506"/>
    <mergeCell ref="F504:F506"/>
    <mergeCell ref="G504:G506"/>
    <mergeCell ref="E507:E508"/>
    <mergeCell ref="F518:F519"/>
    <mergeCell ref="G518:G519"/>
    <mergeCell ref="E511:E514"/>
    <mergeCell ref="F511:F514"/>
    <mergeCell ref="G511:G514"/>
    <mergeCell ref="E515:E517"/>
    <mergeCell ref="F515:F517"/>
    <mergeCell ref="G515:G517"/>
    <mergeCell ref="E518:E519"/>
    <mergeCell ref="F529:F530"/>
    <mergeCell ref="G529:G530"/>
    <mergeCell ref="E520:E521"/>
    <mergeCell ref="F520:F521"/>
    <mergeCell ref="G520:G521"/>
    <mergeCell ref="E525:E528"/>
    <mergeCell ref="F525:F528"/>
    <mergeCell ref="G525:G528"/>
    <mergeCell ref="E529:E530"/>
    <mergeCell ref="E549:E550"/>
    <mergeCell ref="F549:F550"/>
    <mergeCell ref="E565:E568"/>
    <mergeCell ref="F565:F568"/>
    <mergeCell ref="G565:G568"/>
    <mergeCell ref="E540:E543"/>
    <mergeCell ref="F540:F543"/>
    <mergeCell ref="G540:G543"/>
    <mergeCell ref="E544:E546"/>
    <mergeCell ref="F544:F546"/>
    <mergeCell ref="G544:G546"/>
    <mergeCell ref="E547:E548"/>
    <mergeCell ref="F571:F573"/>
    <mergeCell ref="G571:G573"/>
    <mergeCell ref="E574:E575"/>
    <mergeCell ref="F574:F575"/>
    <mergeCell ref="F576:F579"/>
    <mergeCell ref="G576:G579"/>
    <mergeCell ref="E580:E583"/>
    <mergeCell ref="F580:F583"/>
    <mergeCell ref="G580:G583"/>
    <mergeCell ref="H582:H583"/>
    <mergeCell ref="I582:I583"/>
    <mergeCell ref="J582:J583"/>
    <mergeCell ref="E571:E573"/>
    <mergeCell ref="E576:E579"/>
    <mergeCell ref="E584:E586"/>
    <mergeCell ref="F584:F586"/>
    <mergeCell ref="G584:G586"/>
    <mergeCell ref="E587:E588"/>
    <mergeCell ref="F587:F588"/>
    <mergeCell ref="G587:G588"/>
    <mergeCell ref="E589:E590"/>
    <mergeCell ref="F589:F590"/>
    <mergeCell ref="E595:E597"/>
    <mergeCell ref="F595:F597"/>
    <mergeCell ref="G595:G597"/>
    <mergeCell ref="E598:E599"/>
    <mergeCell ref="F598:F599"/>
    <mergeCell ref="G598:G599"/>
    <mergeCell ref="E600:E601"/>
    <mergeCell ref="F600:F601"/>
    <mergeCell ref="E605:E608"/>
    <mergeCell ref="F605:F608"/>
    <mergeCell ref="G605:G608"/>
    <mergeCell ref="F629:F630"/>
    <mergeCell ref="G629:G630"/>
    <mergeCell ref="E624:E626"/>
    <mergeCell ref="F624:F626"/>
    <mergeCell ref="G624:G626"/>
    <mergeCell ref="E627:E628"/>
    <mergeCell ref="F627:F628"/>
    <mergeCell ref="G627:G628"/>
    <mergeCell ref="E629:E630"/>
    <mergeCell ref="F638:F641"/>
    <mergeCell ref="G638:G641"/>
    <mergeCell ref="E631:E634"/>
    <mergeCell ref="F631:F634"/>
    <mergeCell ref="G631:G634"/>
    <mergeCell ref="E635:E637"/>
    <mergeCell ref="F635:F637"/>
    <mergeCell ref="G635:G637"/>
    <mergeCell ref="E638:E641"/>
    <mergeCell ref="G589:G590"/>
    <mergeCell ref="E591:E594"/>
    <mergeCell ref="F591:F594"/>
    <mergeCell ref="G591:G594"/>
    <mergeCell ref="K565:K601"/>
    <mergeCell ref="K605:K641"/>
    <mergeCell ref="F547:F548"/>
    <mergeCell ref="G547:G548"/>
    <mergeCell ref="E569:E570"/>
    <mergeCell ref="F569:F570"/>
    <mergeCell ref="G569:G570"/>
    <mergeCell ref="G574:G575"/>
    <mergeCell ref="G600:G601"/>
    <mergeCell ref="F614:F615"/>
    <mergeCell ref="G614:G615"/>
    <mergeCell ref="E609:E610"/>
    <mergeCell ref="F609:F610"/>
    <mergeCell ref="G609:G610"/>
    <mergeCell ref="E611:E613"/>
    <mergeCell ref="F611:F613"/>
    <mergeCell ref="G611:G613"/>
    <mergeCell ref="E614:E615"/>
    <mergeCell ref="I622:I623"/>
    <mergeCell ref="J622:J623"/>
    <mergeCell ref="H638:H640"/>
    <mergeCell ref="I638:I640"/>
    <mergeCell ref="J638:J640"/>
    <mergeCell ref="E616:E619"/>
    <mergeCell ref="F616:F619"/>
    <mergeCell ref="G616:G619"/>
    <mergeCell ref="E620:E623"/>
    <mergeCell ref="F620:F623"/>
    <mergeCell ref="G620:G623"/>
    <mergeCell ref="H622:H623"/>
    <mergeCell ref="C536:C546"/>
    <mergeCell ref="D536:D546"/>
    <mergeCell ref="B518:B521"/>
    <mergeCell ref="C518:C521"/>
    <mergeCell ref="D518:D521"/>
    <mergeCell ref="B525:B535"/>
    <mergeCell ref="C525:C535"/>
    <mergeCell ref="D525:D535"/>
    <mergeCell ref="B536:B546"/>
    <mergeCell ref="C587:C590"/>
    <mergeCell ref="D587:D590"/>
    <mergeCell ref="B565:B575"/>
    <mergeCell ref="C565:C575"/>
    <mergeCell ref="D565:D575"/>
    <mergeCell ref="B576:B586"/>
    <mergeCell ref="C576:C586"/>
    <mergeCell ref="D576:D586"/>
    <mergeCell ref="B587:B590"/>
    <mergeCell ref="C605:C615"/>
    <mergeCell ref="D605:D615"/>
    <mergeCell ref="B591:B597"/>
    <mergeCell ref="C591:C597"/>
    <mergeCell ref="D591:D597"/>
    <mergeCell ref="B598:B601"/>
    <mergeCell ref="C598:C601"/>
    <mergeCell ref="D598:D601"/>
    <mergeCell ref="B605:B615"/>
    <mergeCell ref="C631:C637"/>
    <mergeCell ref="D631:D637"/>
    <mergeCell ref="B638:B641"/>
    <mergeCell ref="C638:C641"/>
    <mergeCell ref="A565:A601"/>
    <mergeCell ref="A605:A641"/>
    <mergeCell ref="B616:B626"/>
    <mergeCell ref="C616:C626"/>
    <mergeCell ref="D616:D626"/>
    <mergeCell ref="C627:C630"/>
    <mergeCell ref="D627:D630"/>
    <mergeCell ref="D638:D641"/>
    <mergeCell ref="B264:B267"/>
    <mergeCell ref="C264:C267"/>
    <mergeCell ref="C268:C274"/>
    <mergeCell ref="D268:D274"/>
    <mergeCell ref="C228:C234"/>
    <mergeCell ref="D228:D234"/>
    <mergeCell ref="A242:A278"/>
    <mergeCell ref="B242:B252"/>
    <mergeCell ref="C242:C252"/>
    <mergeCell ref="D242:D252"/>
    <mergeCell ref="D264:D267"/>
    <mergeCell ref="D275:D278"/>
    <mergeCell ref="B275:B278"/>
    <mergeCell ref="C275:C278"/>
    <mergeCell ref="C282:C292"/>
    <mergeCell ref="D282:D292"/>
    <mergeCell ref="C293:C303"/>
    <mergeCell ref="D293:D303"/>
    <mergeCell ref="D304:D307"/>
    <mergeCell ref="B253:B263"/>
    <mergeCell ref="B268:B274"/>
    <mergeCell ref="B282:B292"/>
    <mergeCell ref="B293:B303"/>
    <mergeCell ref="B304:B307"/>
    <mergeCell ref="B308:B314"/>
    <mergeCell ref="B315:B318"/>
    <mergeCell ref="A282:A318"/>
    <mergeCell ref="A322:A358"/>
    <mergeCell ref="A362:A398"/>
    <mergeCell ref="A401:A437"/>
    <mergeCell ref="A445:A481"/>
    <mergeCell ref="A485:A521"/>
    <mergeCell ref="A525:A561"/>
    <mergeCell ref="B627:B630"/>
    <mergeCell ref="B631:B637"/>
    <mergeCell ref="C362:C372"/>
    <mergeCell ref="D362:D372"/>
    <mergeCell ref="B348:B354"/>
    <mergeCell ref="C348:C354"/>
    <mergeCell ref="D348:D354"/>
    <mergeCell ref="B355:B358"/>
    <mergeCell ref="C355:C358"/>
    <mergeCell ref="D355:D358"/>
    <mergeCell ref="B362:B372"/>
    <mergeCell ref="C412:C422"/>
    <mergeCell ref="D412:D422"/>
    <mergeCell ref="B395:B398"/>
    <mergeCell ref="C395:C398"/>
    <mergeCell ref="D395:D398"/>
    <mergeCell ref="B401:B411"/>
    <mergeCell ref="C401:C411"/>
    <mergeCell ref="D401:D411"/>
    <mergeCell ref="B412:B422"/>
    <mergeCell ref="C434:C437"/>
    <mergeCell ref="D434:D437"/>
    <mergeCell ref="B423:B426"/>
    <mergeCell ref="C423:C426"/>
    <mergeCell ref="D423:D426"/>
    <mergeCell ref="B427:B433"/>
    <mergeCell ref="C427:C433"/>
    <mergeCell ref="D427:D433"/>
    <mergeCell ref="B434:B437"/>
    <mergeCell ref="C467:C470"/>
    <mergeCell ref="D467:D470"/>
    <mergeCell ref="B445:B455"/>
    <mergeCell ref="C445:C455"/>
    <mergeCell ref="D445:D455"/>
    <mergeCell ref="B456:B466"/>
    <mergeCell ref="C456:C466"/>
    <mergeCell ref="D456:D466"/>
    <mergeCell ref="B467:B470"/>
    <mergeCell ref="C485:C495"/>
    <mergeCell ref="D485:D495"/>
    <mergeCell ref="B471:B477"/>
    <mergeCell ref="C471:C477"/>
    <mergeCell ref="D471:D477"/>
    <mergeCell ref="B478:B481"/>
    <mergeCell ref="C478:C481"/>
    <mergeCell ref="D478:D481"/>
    <mergeCell ref="B485:B495"/>
    <mergeCell ref="C511:C517"/>
    <mergeCell ref="D511:D517"/>
    <mergeCell ref="B496:B506"/>
    <mergeCell ref="C496:C506"/>
    <mergeCell ref="D496:D506"/>
    <mergeCell ref="B507:B510"/>
    <mergeCell ref="C507:C510"/>
    <mergeCell ref="D507:D510"/>
    <mergeCell ref="B511:B517"/>
    <mergeCell ref="C558:C561"/>
    <mergeCell ref="D558:D561"/>
    <mergeCell ref="B547:B550"/>
    <mergeCell ref="C547:C550"/>
    <mergeCell ref="D547:D550"/>
    <mergeCell ref="B551:B557"/>
    <mergeCell ref="C551:C557"/>
    <mergeCell ref="D551:D557"/>
    <mergeCell ref="B558:B561"/>
  </mergeCells>
  <pageMargins left="0.7" right="0.7" top="0.75" bottom="0.75" header="0" footer="0"/>
  <ignoredErrors>
    <ignoredError numberStoredAsText="1" sqref="A1:R64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4"/>
  <sheetViews>
    <sheetView workbookViewId="0" rightToLeft="0"/>
  </sheetViews>
  <sheetData>
    <row r="1">
      <c r="A1" t="str">
        <v>State</v>
      </c>
      <c r="B1" t="str">
        <v>Dimensions</v>
      </c>
      <c r="C1" t="str">
        <v>Scores - Dimensions</v>
      </c>
      <c r="D1" t="str">
        <v>Freedom in the World Score</v>
      </c>
      <c r="E1" t="str">
        <v>Category</v>
      </c>
    </row>
    <row r="2">
      <c r="A2" t="str">
        <v>Benin</v>
      </c>
      <c r="B2" t="str">
        <v>Political Rights (40%)</v>
      </c>
      <c r="C2">
        <v>19</v>
      </c>
      <c r="D2">
        <v>61</v>
      </c>
      <c r="E2" t="str">
        <v>Partly Free</v>
      </c>
    </row>
    <row r="3">
      <c r="B3" t="str">
        <v>Civil rights (60%)</v>
      </c>
      <c r="C3">
        <v>42</v>
      </c>
    </row>
    <row r="4">
      <c r="A4" t="str">
        <v>Burkina Faso</v>
      </c>
      <c r="B4" t="str">
        <v>Political Rights (40%)</v>
      </c>
      <c r="C4">
        <v>2</v>
      </c>
      <c r="D4">
        <v>20</v>
      </c>
      <c r="E4" t="str">
        <v>Not Free</v>
      </c>
    </row>
    <row r="5">
      <c r="B5" t="str">
        <v>Civil rights (60%)</v>
      </c>
      <c r="C5">
        <v>18</v>
      </c>
    </row>
    <row r="6">
      <c r="A6" t="str">
        <v>Cabo Verde</v>
      </c>
      <c r="B6" t="str">
        <v>Political Rights (40%)</v>
      </c>
      <c r="C6">
        <v>38</v>
      </c>
      <c r="D6">
        <v>92</v>
      </c>
      <c r="E6" t="str">
        <v>Free</v>
      </c>
    </row>
    <row r="7">
      <c r="B7" t="str">
        <v>Civil rights (60%)</v>
      </c>
      <c r="C7">
        <v>54</v>
      </c>
    </row>
    <row r="8">
      <c r="A8" t="str">
        <v>Côte d'Ivoire</v>
      </c>
      <c r="B8" t="str">
        <v>Political Rights (40%)</v>
      </c>
      <c r="C8">
        <v>17</v>
      </c>
      <c r="D8">
        <v>46</v>
      </c>
      <c r="E8" t="str">
        <v>Partly Free</v>
      </c>
    </row>
    <row r="9">
      <c r="B9" t="str">
        <v>Civil rights (60%)</v>
      </c>
      <c r="C9">
        <v>29</v>
      </c>
    </row>
    <row r="10">
      <c r="A10" t="str">
        <v>The Gambia</v>
      </c>
      <c r="B10" t="str">
        <v>Political Rights (40%)</v>
      </c>
      <c r="C10">
        <v>22</v>
      </c>
      <c r="D10">
        <v>51</v>
      </c>
      <c r="E10" t="str">
        <v>Partly Free</v>
      </c>
    </row>
    <row r="11">
      <c r="B11" t="str">
        <v>Civil rights (60%)</v>
      </c>
      <c r="C11">
        <v>29</v>
      </c>
    </row>
    <row r="12">
      <c r="A12" t="str">
        <v>Ghana</v>
      </c>
      <c r="B12" t="str">
        <v>Political Rights (40%)</v>
      </c>
      <c r="C12">
        <v>35</v>
      </c>
      <c r="D12">
        <v>80</v>
      </c>
      <c r="E12" t="str">
        <v>Free</v>
      </c>
    </row>
    <row r="13">
      <c r="B13" t="str">
        <v>Civil rights (60%)</v>
      </c>
      <c r="C13">
        <v>45</v>
      </c>
    </row>
    <row r="14">
      <c r="A14" t="str">
        <v>Guinea</v>
      </c>
      <c r="B14" t="str">
        <v>Political Rights (40%)</v>
      </c>
      <c r="C14">
        <v>6</v>
      </c>
      <c r="D14">
        <v>28</v>
      </c>
      <c r="E14" t="str">
        <v>Not Free</v>
      </c>
    </row>
    <row r="15">
      <c r="B15" t="str">
        <v>Civil rights (60%)</v>
      </c>
      <c r="C15">
        <v>22</v>
      </c>
    </row>
    <row r="16">
      <c r="A16" t="str">
        <v>Guinea-Bissau</v>
      </c>
      <c r="B16" t="str">
        <v>Political Rights (40%)</v>
      </c>
      <c r="C16">
        <v>7</v>
      </c>
      <c r="D16">
        <v>33</v>
      </c>
      <c r="E16" t="str">
        <v>Partly free</v>
      </c>
    </row>
    <row r="17">
      <c r="B17" t="str">
        <v>Civil rights (60%)</v>
      </c>
      <c r="C17">
        <v>26</v>
      </c>
    </row>
    <row r="18">
      <c r="A18" t="str">
        <v>Liberia</v>
      </c>
      <c r="B18" t="str">
        <v>Political Rights (40%)</v>
      </c>
      <c r="C18">
        <v>31</v>
      </c>
      <c r="D18">
        <v>65</v>
      </c>
      <c r="E18" t="str">
        <v>Partly free</v>
      </c>
    </row>
    <row r="19">
      <c r="B19" t="str">
        <v>Civil rights (60%)</v>
      </c>
      <c r="C19">
        <v>34</v>
      </c>
    </row>
    <row r="20">
      <c r="A20" t="str">
        <v>Mali</v>
      </c>
      <c r="B20" t="str">
        <v>Political Rights (40%)</v>
      </c>
      <c r="C20">
        <v>3</v>
      </c>
      <c r="D20">
        <v>21</v>
      </c>
      <c r="E20" t="str">
        <v>Not Free</v>
      </c>
    </row>
    <row r="21">
      <c r="B21" t="str">
        <v>Civil rights (60%)</v>
      </c>
      <c r="C21">
        <v>18</v>
      </c>
    </row>
    <row r="22">
      <c r="A22" t="str">
        <v>Mauritania</v>
      </c>
      <c r="B22" t="str">
        <v>Political Rights (40%)</v>
      </c>
      <c r="C22">
        <v>15</v>
      </c>
      <c r="D22">
        <v>38</v>
      </c>
      <c r="E22" t="str">
        <v>Partly free</v>
      </c>
    </row>
    <row r="23">
      <c r="B23" t="str">
        <v>Civil rights (60%)</v>
      </c>
      <c r="C23">
        <v>23</v>
      </c>
    </row>
    <row r="24">
      <c r="A24" t="str">
        <v>Nigeria</v>
      </c>
      <c r="B24" t="str">
        <v>Political Rights (40%)</v>
      </c>
      <c r="C24">
        <v>20</v>
      </c>
      <c r="D24">
        <v>44</v>
      </c>
      <c r="E24" t="str">
        <v>Partly free</v>
      </c>
    </row>
    <row r="25">
      <c r="B25" t="str">
        <v>Civil rights (60%)</v>
      </c>
      <c r="C25">
        <v>24</v>
      </c>
    </row>
    <row r="26">
      <c r="A26" t="str">
        <v>Niger</v>
      </c>
      <c r="B26" t="str">
        <v>Political Rights (40%)</v>
      </c>
      <c r="C26">
        <v>3</v>
      </c>
      <c r="D26">
        <v>27</v>
      </c>
      <c r="E26" t="str">
        <v>Not Free</v>
      </c>
    </row>
    <row r="27">
      <c r="B27" t="str">
        <v>Civil rights (60%)</v>
      </c>
      <c r="C27">
        <v>24</v>
      </c>
    </row>
    <row r="28">
      <c r="A28" t="str">
        <v>Sierra Leone</v>
      </c>
      <c r="B28" t="str">
        <v>Political Rights (40%)</v>
      </c>
      <c r="C28">
        <v>23</v>
      </c>
      <c r="D28">
        <v>61</v>
      </c>
      <c r="E28" t="str">
        <v>Partly free</v>
      </c>
    </row>
    <row r="29">
      <c r="B29" t="str">
        <v>Civil rights (60%)</v>
      </c>
      <c r="C29">
        <v>38</v>
      </c>
    </row>
    <row r="30">
      <c r="A30" t="str">
        <v>Senegal</v>
      </c>
      <c r="B30" t="str">
        <v>Political Rights (40%)</v>
      </c>
      <c r="C30">
        <v>30</v>
      </c>
      <c r="D30">
        <v>70</v>
      </c>
      <c r="E30" t="str">
        <v>Free</v>
      </c>
    </row>
    <row r="31">
      <c r="B31" t="str">
        <v>Civil rights (60%)</v>
      </c>
      <c r="C31">
        <v>40</v>
      </c>
    </row>
    <row r="32">
      <c r="A32" t="str">
        <v>Togo</v>
      </c>
      <c r="B32" t="str">
        <v>Political Rights (40%)</v>
      </c>
      <c r="C32">
        <v>11</v>
      </c>
      <c r="D32">
        <v>37</v>
      </c>
      <c r="E32" t="str">
        <v>Partly free</v>
      </c>
    </row>
    <row r="33">
      <c r="B33" t="str">
        <v>Civil rights (60%)</v>
      </c>
      <c r="C33">
        <v>26</v>
      </c>
    </row>
  </sheetData>
  <mergeCells count="48">
    <mergeCell ref="E30:E31"/>
    <mergeCell ref="E32:E33"/>
    <mergeCell ref="E16:E17"/>
    <mergeCell ref="E18:E19"/>
    <mergeCell ref="E20:E21"/>
    <mergeCell ref="E22:E23"/>
    <mergeCell ref="E24:E25"/>
    <mergeCell ref="E26:E27"/>
    <mergeCell ref="E28:E29"/>
    <mergeCell ref="D6:D7"/>
    <mergeCell ref="E6:E7"/>
    <mergeCell ref="A2:A3"/>
    <mergeCell ref="D2:D3"/>
    <mergeCell ref="E2:E3"/>
    <mergeCell ref="A4:A5"/>
    <mergeCell ref="E4:E5"/>
    <mergeCell ref="A6:A7"/>
    <mergeCell ref="E8:E9"/>
    <mergeCell ref="D4:D5"/>
    <mergeCell ref="D8:D9"/>
    <mergeCell ref="D10:D11"/>
    <mergeCell ref="E10:E11"/>
    <mergeCell ref="D12:D13"/>
    <mergeCell ref="E12:E13"/>
    <mergeCell ref="E14:E15"/>
    <mergeCell ref="A22:A23"/>
    <mergeCell ref="A24:A25"/>
    <mergeCell ref="A26:A27"/>
    <mergeCell ref="A28:A29"/>
    <mergeCell ref="A30:A31"/>
    <mergeCell ref="A32:A33"/>
    <mergeCell ref="A8:A9"/>
    <mergeCell ref="A10:A11"/>
    <mergeCell ref="A12:A13"/>
    <mergeCell ref="A14:A15"/>
    <mergeCell ref="A16:A17"/>
    <mergeCell ref="A18:A19"/>
    <mergeCell ref="A20:A21"/>
    <mergeCell ref="D28:D29"/>
    <mergeCell ref="D30:D31"/>
    <mergeCell ref="D32:D33"/>
    <mergeCell ref="D14:D15"/>
    <mergeCell ref="D16:D17"/>
    <mergeCell ref="D18:D19"/>
    <mergeCell ref="D20:D21"/>
    <mergeCell ref="D22:D23"/>
    <mergeCell ref="D24:D25"/>
    <mergeCell ref="D26:D27"/>
  </mergeCells>
  <ignoredErrors>
    <ignoredError numberStoredAsText="1" sqref="A1:E42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1000"/>
  <sheetViews>
    <sheetView workbookViewId="0" rightToLeft="0"/>
  </sheetViews>
  <sheetData>
    <row r="1">
      <c r="A1" t="str">
        <v>Countries</v>
      </c>
      <c r="B1" t="str">
        <v>Institutional integrity</v>
      </c>
      <c r="C1" t="str">
        <v>Socio-economic development</v>
      </c>
      <c r="D1" t="str">
        <v>Responsiveness</v>
      </c>
      <c r="E1" t="str">
        <v>Electoral integrity</v>
      </c>
      <c r="F1" t="str">
        <v>Democratic memory</v>
      </c>
      <c r="G1" t="str">
        <v>TOTAL SCORE</v>
      </c>
      <c r="I1" t="str">
        <v>Types</v>
      </c>
      <c r="J1" t="str">
        <v>Institutional integrity</v>
      </c>
      <c r="K1" t="str">
        <v>Socio-economic development</v>
      </c>
      <c r="L1" t="str">
        <v>Responsiveness</v>
      </c>
      <c r="M1" t="str">
        <v>Electoral integrity</v>
      </c>
      <c r="N1" t="str">
        <v>Democratic memory</v>
      </c>
    </row>
    <row r="2">
      <c r="A2" t="str">
        <v>Benin</v>
      </c>
      <c r="B2">
        <v>0.5899365</v>
      </c>
      <c r="C2">
        <v>0.5599</v>
      </c>
      <c r="D2">
        <v>0.47</v>
      </c>
      <c r="E2">
        <v>0.72</v>
      </c>
      <c r="F2">
        <v>0.03</v>
      </c>
      <c r="I2" t="str">
        <v>Consolidated</v>
      </c>
    </row>
    <row r="3">
      <c r="A3" t="str">
        <v>Burkina Faso</v>
      </c>
      <c r="B3">
        <v>0.36892450000000004</v>
      </c>
      <c r="C3">
        <v>0.48810000000000003</v>
      </c>
      <c r="D3">
        <v>0.25</v>
      </c>
      <c r="E3">
        <v>0.71</v>
      </c>
      <c r="F3">
        <v>0.46</v>
      </c>
      <c r="I3" t="str">
        <v>Developed</v>
      </c>
    </row>
    <row r="4">
      <c r="A4" t="str">
        <v>Cape Verde</v>
      </c>
      <c r="B4">
        <v>0.5567175</v>
      </c>
      <c r="C4">
        <v>0.5587</v>
      </c>
      <c r="D4">
        <v>0.34</v>
      </c>
      <c r="E4">
        <v>0.95</v>
      </c>
      <c r="F4">
        <v>0</v>
      </c>
      <c r="I4" t="str">
        <v>Illiberal</v>
      </c>
    </row>
    <row r="5">
      <c r="A5" t="str">
        <v>Côte D'Ivoire</v>
      </c>
      <c r="B5">
        <v>0.4427969999999999</v>
      </c>
      <c r="C5">
        <v>0.48918749999999994</v>
      </c>
      <c r="D5">
        <v>0.43</v>
      </c>
      <c r="E5">
        <v>0.5</v>
      </c>
      <c r="F5">
        <v>0.45</v>
      </c>
      <c r="I5" t="str">
        <v>Non-Democratic</v>
      </c>
    </row>
    <row r="6">
      <c r="A6" t="str">
        <v>Gambia</v>
      </c>
      <c r="B6">
        <v>0.662572</v>
      </c>
      <c r="C6">
        <v>0.5387375000000001</v>
      </c>
      <c r="D6">
        <v>0.69</v>
      </c>
      <c r="E6">
        <v>0.82</v>
      </c>
      <c r="F6">
        <v>0.66</v>
      </c>
    </row>
    <row r="7">
      <c r="A7" t="str">
        <v>Ghana</v>
      </c>
      <c r="B7">
        <v>0.8965369999999999</v>
      </c>
      <c r="C7">
        <v>0.6247</v>
      </c>
      <c r="D7">
        <v>0.73</v>
      </c>
      <c r="E7">
        <v>0.81</v>
      </c>
      <c r="F7">
        <v>0.46</v>
      </c>
    </row>
    <row r="8">
      <c r="A8" t="str">
        <v>Guinea</v>
      </c>
      <c r="B8">
        <v>0.28612899999999997</v>
      </c>
      <c r="C8">
        <v>0.4</v>
      </c>
      <c r="D8">
        <v>0.25</v>
      </c>
      <c r="E8">
        <v>0.42</v>
      </c>
      <c r="F8">
        <v>0.02</v>
      </c>
    </row>
    <row r="9">
      <c r="A9" t="str">
        <v>Guinea-Bissau</v>
      </c>
      <c r="B9">
        <v>0.3658905</v>
      </c>
      <c r="C9">
        <v>0.44</v>
      </c>
      <c r="D9">
        <v>0.23</v>
      </c>
      <c r="E9">
        <v>0.49</v>
      </c>
      <c r="F9">
        <v>0.02</v>
      </c>
    </row>
    <row r="10">
      <c r="A10" t="str">
        <v>Liberia</v>
      </c>
      <c r="B10">
        <v>0.540825</v>
      </c>
      <c r="C10">
        <v>0.45</v>
      </c>
      <c r="D10">
        <v>0.65</v>
      </c>
      <c r="E10">
        <v>0.78</v>
      </c>
      <c r="F10">
        <v>0.45</v>
      </c>
    </row>
    <row r="11">
      <c r="A11" t="str">
        <v>Mali</v>
      </c>
      <c r="B11">
        <v>0.39481</v>
      </c>
      <c r="C11">
        <v>0.46</v>
      </c>
      <c r="D11">
        <v>0.39</v>
      </c>
      <c r="E11">
        <v>0.62</v>
      </c>
      <c r="F11">
        <v>0.54</v>
      </c>
    </row>
    <row r="12">
      <c r="A12" t="str">
        <v>Mauritania</v>
      </c>
      <c r="B12">
        <v>0.31646250000000004</v>
      </c>
      <c r="C12">
        <v>0.45</v>
      </c>
      <c r="D12">
        <v>0.36</v>
      </c>
      <c r="E12">
        <v>0.54</v>
      </c>
      <c r="F12">
        <v>0.04</v>
      </c>
    </row>
    <row r="13">
      <c r="A13" t="str">
        <v>Niger</v>
      </c>
      <c r="B13">
        <v>0.4656085</v>
      </c>
      <c r="C13">
        <v>0.44</v>
      </c>
      <c r="D13">
        <v>0.47</v>
      </c>
      <c r="E13">
        <v>0.57</v>
      </c>
      <c r="F13">
        <v>0.01</v>
      </c>
    </row>
    <row r="14">
      <c r="A14" t="str">
        <v>Nigeria</v>
      </c>
      <c r="B14">
        <v>0.49</v>
      </c>
      <c r="C14">
        <v>0.44</v>
      </c>
      <c r="D14">
        <v>0.42</v>
      </c>
      <c r="E14">
        <v>0.56</v>
      </c>
      <c r="F14">
        <v>0.39</v>
      </c>
    </row>
    <row r="15">
      <c r="A15" t="str">
        <v>Senegal</v>
      </c>
      <c r="B15">
        <v>0.6</v>
      </c>
      <c r="C15">
        <v>0.5</v>
      </c>
      <c r="D15">
        <v>0.62</v>
      </c>
      <c r="E15">
        <v>0.51</v>
      </c>
      <c r="F15">
        <v>0.54</v>
      </c>
    </row>
    <row r="16">
      <c r="A16" t="str">
        <v>Sierra Leone</v>
      </c>
      <c r="B16">
        <v>0.5309470000000001</v>
      </c>
      <c r="C16">
        <v>0.58</v>
      </c>
      <c r="D16">
        <v>0.78</v>
      </c>
      <c r="E16">
        <v>0.77</v>
      </c>
      <c r="F16">
        <v>0.03</v>
      </c>
    </row>
    <row r="17">
      <c r="A17" t="str">
        <v>Togo</v>
      </c>
      <c r="B17">
        <v>0.32</v>
      </c>
      <c r="C17">
        <v>0.5</v>
      </c>
      <c r="D17">
        <v>0.47</v>
      </c>
      <c r="E17">
        <v>0.57</v>
      </c>
      <c r="F17">
        <v>0.02</v>
      </c>
    </row>
  </sheetData>
  <ignoredErrors>
    <ignoredError numberStoredAsText="1" sqref="A1:N10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West Africa</vt:lpstr>
      <vt:lpstr>Freedom House</vt:lpstr>
      <vt:lpstr>general results WA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