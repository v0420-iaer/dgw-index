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st Africa" sheetId="1" r:id="rId5"/>
    <sheet state="visible" name="Freedom House" sheetId="2" r:id="rId6"/>
    <sheet state="visible" name="general results W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tc={26882b14-69f5-48fb-b718-f34a8c701686}</author>
  </authors>
  <commentList>
    <comment authorId="0" xr:uid="{26882b14-69f5-48fb-b718-f34a8c701686}" ref="I5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review???? 0,5 or 1
</t>
      </text>
    </comment>
  </commentList>
</comments>
</file>

<file path=xl/sharedStrings.xml><?xml version="1.0" encoding="utf-8"?>
<sst xmlns="http://schemas.openxmlformats.org/spreadsheetml/2006/main" count="1171" uniqueCount="135">
  <si>
    <t>State</t>
  </si>
  <si>
    <t>Variable</t>
  </si>
  <si>
    <t>SCORE VAR</t>
  </si>
  <si>
    <t>% VAR</t>
  </si>
  <si>
    <t>Dimension</t>
  </si>
  <si>
    <t>SCORE DIM</t>
  </si>
  <si>
    <t>% DIM</t>
  </si>
  <si>
    <t>Indicator</t>
  </si>
  <si>
    <t>SCORE IND</t>
  </si>
  <si>
    <t>% IND</t>
  </si>
  <si>
    <t>TOTAL INDEX</t>
  </si>
  <si>
    <t>Benin</t>
  </si>
  <si>
    <t>Institutional Integrity</t>
  </si>
  <si>
    <t>Rule of Law</t>
  </si>
  <si>
    <t>Equal protection index</t>
  </si>
  <si>
    <t>Rule of law index</t>
  </si>
  <si>
    <t>LIST OF WEST AFRICAN COUNTRIES</t>
  </si>
  <si>
    <t>UN GEOSCHEME</t>
  </si>
  <si>
    <t>Civil rights</t>
  </si>
  <si>
    <t>Access to justice</t>
  </si>
  <si>
    <t>Burkina Faso</t>
  </si>
  <si>
    <t>Separation of powers</t>
  </si>
  <si>
    <t>Separations of power</t>
  </si>
  <si>
    <t>Cape Verde</t>
  </si>
  <si>
    <t>High court independence</t>
  </si>
  <si>
    <t>Côte D'Ivoire</t>
  </si>
  <si>
    <t>Accountability</t>
  </si>
  <si>
    <t>Control of corruption</t>
  </si>
  <si>
    <t>Gambia</t>
  </si>
  <si>
    <t>Corruption perceptions index (2024)</t>
  </si>
  <si>
    <t>Ghana</t>
  </si>
  <si>
    <t>Diagonal accountability index</t>
  </si>
  <si>
    <t>Guinea</t>
  </si>
  <si>
    <t>Transparency</t>
  </si>
  <si>
    <t>Open government index</t>
  </si>
  <si>
    <t>Guinea-Bissau</t>
  </si>
  <si>
    <t>Government censorship effort</t>
  </si>
  <si>
    <t>Liberia</t>
  </si>
  <si>
    <t>Socio-economic development</t>
  </si>
  <si>
    <t>Welfare Frameworks</t>
  </si>
  <si>
    <t>Social safety nets</t>
  </si>
  <si>
    <t>Mali</t>
  </si>
  <si>
    <t>Educational equality</t>
  </si>
  <si>
    <t>Mauritania</t>
  </si>
  <si>
    <t>Health equality</t>
  </si>
  <si>
    <t>Niger</t>
  </si>
  <si>
    <t>Access to public services by socio-economic position (2023)</t>
  </si>
  <si>
    <t>Nigeria</t>
  </si>
  <si>
    <t>Living Standards</t>
  </si>
  <si>
    <t>HDI</t>
  </si>
  <si>
    <t>Senegal</t>
  </si>
  <si>
    <t>Infant mortality rate (inverted)</t>
  </si>
  <si>
    <t>Sierra Leone</t>
  </si>
  <si>
    <t>Freedom of academic &amp; cultural expression</t>
  </si>
  <si>
    <t>Togo</t>
  </si>
  <si>
    <t>TOTAL COUNTRIES</t>
  </si>
  <si>
    <t>Distribution of Resources</t>
  </si>
  <si>
    <t>Gini Coefficient (inverted) (2021)</t>
  </si>
  <si>
    <t>Power distributed by socioeconomic position</t>
  </si>
  <si>
    <t>Poverty headcount ratio (inverted) (2021)</t>
  </si>
  <si>
    <t>Responsiveness</t>
  </si>
  <si>
    <t>Discourse</t>
  </si>
  <si>
    <t>Deliberative component index</t>
  </si>
  <si>
    <t>Reasoned justification</t>
  </si>
  <si>
    <t>Policies and legitimacy</t>
  </si>
  <si>
    <t>Steering Capability</t>
  </si>
  <si>
    <t>Approval of democracy (n/a)</t>
  </si>
  <si>
    <t>Electoral Integrity</t>
  </si>
  <si>
    <t>Free and fair elections</t>
  </si>
  <si>
    <t>Clean elections index</t>
  </si>
  <si>
    <t>Election free and fair</t>
  </si>
  <si>
    <t>Opposition parties autonomy</t>
  </si>
  <si>
    <t>Share of population with suffrage</t>
  </si>
  <si>
    <t>Peaceful transition of power</t>
  </si>
  <si>
    <t>Election other electoral violence</t>
  </si>
  <si>
    <t>Election losers accept results</t>
  </si>
  <si>
    <t>Election government intimidation</t>
  </si>
  <si>
    <t>Democratic memory</t>
  </si>
  <si>
    <t>Reparations</t>
  </si>
  <si>
    <t>Truth commission</t>
  </si>
  <si>
    <t>Reparatory policies</t>
  </si>
  <si>
    <t>Legal</t>
  </si>
  <si>
    <t>Amnesty law</t>
  </si>
  <si>
    <t>Domestic trials</t>
  </si>
  <si>
    <t xml:space="preserve">Election free and fair (2022) </t>
  </si>
  <si>
    <t>Election other electoral violence (2022)</t>
  </si>
  <si>
    <t>Election losers accept results (2022)</t>
  </si>
  <si>
    <t xml:space="preserve">Election government intimidation (2022) </t>
  </si>
  <si>
    <t>Gini Coefficient (inverted) (2015)</t>
  </si>
  <si>
    <t>Poverty headcount ratio (inverted) (2023)</t>
  </si>
  <si>
    <t>Steering Capability (n/a)</t>
  </si>
  <si>
    <t>Côte d'Ivoire</t>
  </si>
  <si>
    <t>The Gambia</t>
  </si>
  <si>
    <t>Gini Coefficient (inverted) (2020)</t>
  </si>
  <si>
    <t>Poverty headcount ratio (inverted) (2020)</t>
  </si>
  <si>
    <t>Approval of democracy</t>
  </si>
  <si>
    <t>Access to public services by socio-economic position</t>
  </si>
  <si>
    <t>Gini Coefficient (inverted) (2016)</t>
  </si>
  <si>
    <t>Poverty headcount ratio (inverted) (2016)</t>
  </si>
  <si>
    <t>Access to public services by socio-economic position (2021)</t>
  </si>
  <si>
    <t>Gini Coefficient (inverted) (2018)</t>
  </si>
  <si>
    <t>Poverty headcount ratio (inverted) (2018)</t>
  </si>
  <si>
    <t>Election free and fair (2020)</t>
  </si>
  <si>
    <t>Opposition parties autonomy (2024)</t>
  </si>
  <si>
    <t>Election other electoral violence (2020)</t>
  </si>
  <si>
    <t>Election losers accept results (2020)</t>
  </si>
  <si>
    <t>Election government intimidation (2020)</t>
  </si>
  <si>
    <t>Gini Coefficient (inverted) (2019)</t>
  </si>
  <si>
    <t>Poverty headcount ratio (inverted) (2019)</t>
  </si>
  <si>
    <t xml:space="preserve">Opposition parties autonomy </t>
  </si>
  <si>
    <t>Election free and fair (2023)</t>
  </si>
  <si>
    <t>Election other electoral violence (2023)</t>
  </si>
  <si>
    <t>Election government intimidation (2023)</t>
  </si>
  <si>
    <t>Gini Coefficient (inverted) (2022)</t>
  </si>
  <si>
    <t>Poverty headcount ratio (inverted) (2022)</t>
  </si>
  <si>
    <t>Dimensions</t>
  </si>
  <si>
    <t>Scores - Dimensions</t>
  </si>
  <si>
    <t>Freedom in the World Score</t>
  </si>
  <si>
    <t>Category</t>
  </si>
  <si>
    <t>Political Rights (40%)</t>
  </si>
  <si>
    <t>Partly Free</t>
  </si>
  <si>
    <t>Civil rights (60%)</t>
  </si>
  <si>
    <t>Not Free</t>
  </si>
  <si>
    <t>Cabo Verde</t>
  </si>
  <si>
    <t>Free</t>
  </si>
  <si>
    <t>Partly free</t>
  </si>
  <si>
    <t>Countries</t>
  </si>
  <si>
    <t>Institutional integrity</t>
  </si>
  <si>
    <t>Electoral integrity</t>
  </si>
  <si>
    <t>TOTAL SCORE</t>
  </si>
  <si>
    <t>Types</t>
  </si>
  <si>
    <t>Consolidated</t>
  </si>
  <si>
    <t>Developed</t>
  </si>
  <si>
    <t>Illiberal</t>
  </si>
  <si>
    <t>Non-Democratic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</si>
</sst>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8.0"/>
      <color rgb="FF000000"/>
      <name val="Lora"/>
    </font>
    <font>
      <b/>
      <sz val="9.0"/>
      <color rgb="FF000000"/>
      <name val="Lora"/>
    </font>
    <font>
      <sz val="9.0"/>
      <color rgb="FF000000"/>
      <name val="Lora"/>
    </font>
    <font/>
    <font>
      <sz val="11.0"/>
      <color theme="1"/>
      <name val="Arial"/>
      <scheme val="minor"/>
    </font>
    <font>
      <color theme="1"/>
      <name val="Arial"/>
      <scheme val="minor"/>
    </font>
    <font>
      <sz val="9.0"/>
      <color theme="1"/>
      <name val="Lora"/>
    </font>
    <font>
      <sz val="12.0"/>
      <color theme="1"/>
      <name val="&quot;Open Sans&quot;"/>
    </font>
    <font>
      <sz val="12.0"/>
      <color rgb="FF000000"/>
      <name val="&quot;Open Sans&quot;"/>
    </font>
    <font>
      <b/>
      <sz val="9.0"/>
      <color theme="1"/>
      <name val="Lora"/>
    </font>
    <font>
      <color theme="1"/>
      <name val="Arial"/>
    </font>
    <font>
      <b/>
      <sz val="11.0"/>
      <color rgb="FF000000"/>
      <name val="Cambria"/>
    </font>
    <font>
      <b/>
      <sz val="11.0"/>
      <color theme="1"/>
      <name val="Cambria"/>
    </font>
    <font>
      <sz val="11.0"/>
      <color theme="1"/>
      <name val="Cambria"/>
    </font>
    <font>
      <b/>
      <color theme="1"/>
      <name val="Lora"/>
    </font>
    <font>
      <color theme="1"/>
      <name val="Lora"/>
    </font>
  </fonts>
  <fills count="16">
    <fill>
      <patternFill patternType="none"/>
    </fill>
    <fill>
      <patternFill patternType="lightGray"/>
    </fill>
    <fill>
      <patternFill patternType="solid">
        <fgColor rgb="FFD7FFC5"/>
        <bgColor rgb="FFD7FFC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D49E"/>
        <bgColor rgb="FFFFD49E"/>
      </patternFill>
    </fill>
    <fill>
      <patternFill patternType="solid">
        <fgColor rgb="FFEA9999"/>
        <bgColor rgb="FFEA9999"/>
      </patternFill>
    </fill>
    <fill>
      <patternFill patternType="solid">
        <fgColor rgb="FFECBAFF"/>
        <bgColor rgb="FFECBA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3D85C6"/>
        <bgColor rgb="FF3D85C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9" xfId="0" applyAlignment="1" applyBorder="1" applyFont="1" applyNumberFormat="1">
      <alignment horizontal="center" readingOrder="0" vertical="center"/>
    </xf>
    <xf borderId="2" fillId="2" fontId="3" numFmtId="0" xfId="0" applyAlignment="1" applyBorder="1" applyFont="1">
      <alignment horizontal="left" readingOrder="0" shrinkToFit="0" vertical="center" wrapText="1"/>
    </xf>
    <xf borderId="2" fillId="2" fontId="3" numFmtId="0" xfId="0" applyAlignment="1" applyBorder="1" applyFont="1">
      <alignment horizontal="center" readingOrder="0" vertical="center"/>
    </xf>
    <xf borderId="2" fillId="2" fontId="3" numFmtId="9" xfId="0" applyAlignment="1" applyBorder="1" applyFont="1" applyNumberFormat="1">
      <alignment horizontal="center" readingOrder="0" vertical="center"/>
    </xf>
    <xf borderId="1" fillId="3" fontId="2" numFmtId="9" xfId="0" applyAlignment="1" applyBorder="1" applyFill="1" applyFont="1" applyNumberFormat="1">
      <alignment horizontal="center" readingOrder="0" vertical="center"/>
    </xf>
    <xf borderId="3" fillId="0" fontId="4" numFmtId="0" xfId="0" applyBorder="1" applyFont="1"/>
    <xf borderId="0" fillId="0" fontId="5" numFmtId="0" xfId="0" applyAlignment="1" applyFont="1">
      <alignment readingOrder="0"/>
    </xf>
    <xf borderId="2" fillId="2" fontId="3" numFmtId="2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/>
    </xf>
    <xf borderId="4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4" fontId="3" numFmtId="9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left" readingOrder="0" shrinkToFit="0" vertical="center" wrapText="1"/>
    </xf>
    <xf borderId="2" fillId="4" fontId="3" numFmtId="0" xfId="0" applyAlignment="1" applyBorder="1" applyFont="1">
      <alignment horizontal="center" readingOrder="0" vertical="center"/>
    </xf>
    <xf borderId="2" fillId="4" fontId="3" numFmtId="9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readingOrder="0"/>
    </xf>
    <xf borderId="2" fillId="4" fontId="3" numFmtId="2" xfId="0" applyAlignment="1" applyBorder="1" applyFont="1" applyNumberFormat="1">
      <alignment horizontal="center" readingOrder="0" vertical="center"/>
    </xf>
    <xf borderId="0" fillId="0" fontId="9" numFmtId="0" xfId="0" applyFont="1"/>
    <xf borderId="1" fillId="4" fontId="3" numFmtId="0" xfId="0" applyAlignment="1" applyBorder="1" applyFont="1">
      <alignment horizontal="left" readingOrder="0" shrinkToFit="0" vertical="center" wrapText="1"/>
    </xf>
    <xf borderId="0" fillId="0" fontId="6" numFmtId="0" xfId="0" applyFont="1"/>
    <xf borderId="1" fillId="5" fontId="3" numFmtId="0" xfId="0" applyAlignment="1" applyBorder="1" applyFill="1" applyFont="1">
      <alignment horizontal="center" readingOrder="0" vertical="center"/>
    </xf>
    <xf borderId="1" fillId="5" fontId="3" numFmtId="9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left" readingOrder="0" shrinkToFit="0" vertical="center" wrapText="1"/>
    </xf>
    <xf borderId="2" fillId="5" fontId="3" numFmtId="0" xfId="0" applyAlignment="1" applyBorder="1" applyFont="1">
      <alignment horizontal="center" readingOrder="0" vertical="center"/>
    </xf>
    <xf borderId="2" fillId="5" fontId="3" numFmtId="9" xfId="0" applyAlignment="1" applyBorder="1" applyFont="1" applyNumberFormat="1">
      <alignment horizontal="center" readingOrder="0" vertical="center"/>
    </xf>
    <xf borderId="2" fillId="5" fontId="3" numFmtId="2" xfId="0" applyAlignment="1" applyBorder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6" fontId="3" numFmtId="9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left" readingOrder="0" shrinkToFit="0" vertical="center" wrapText="1"/>
    </xf>
    <xf borderId="2" fillId="6" fontId="3" numFmtId="0" xfId="0" applyAlignment="1" applyBorder="1" applyFont="1">
      <alignment horizontal="center" readingOrder="0" vertical="center"/>
    </xf>
    <xf borderId="2" fillId="6" fontId="3" numFmtId="9" xfId="0" applyAlignment="1" applyBorder="1" applyFont="1" applyNumberFormat="1">
      <alignment horizontal="center" readingOrder="0" vertical="center"/>
    </xf>
    <xf borderId="2" fillId="6" fontId="3" numFmtId="2" xfId="0" applyAlignment="1" applyBorder="1" applyFont="1" applyNumberForma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3" numFmtId="9" xfId="0" applyAlignment="1" applyBorder="1" applyFont="1" applyNumberFormat="1">
      <alignment horizontal="center" readingOrder="0" vertical="center"/>
    </xf>
    <xf borderId="2" fillId="7" fontId="3" numFmtId="0" xfId="0" applyAlignment="1" applyBorder="1" applyFont="1">
      <alignment horizontal="left" readingOrder="0" shrinkToFit="0" vertical="center" wrapText="1"/>
    </xf>
    <xf borderId="2" fillId="7" fontId="3" numFmtId="0" xfId="0" applyAlignment="1" applyBorder="1" applyFont="1">
      <alignment horizontal="center" readingOrder="0" vertical="center"/>
    </xf>
    <xf borderId="2" fillId="7" fontId="3" numFmtId="9" xfId="0" applyAlignment="1" applyBorder="1" applyFont="1" applyNumberFormat="1">
      <alignment horizontal="center" readingOrder="0" vertical="center"/>
    </xf>
    <xf borderId="2" fillId="7" fontId="7" numFmtId="9" xfId="0" applyAlignment="1" applyBorder="1" applyFont="1" applyNumberFormat="1">
      <alignment horizontal="center" vertical="center"/>
    </xf>
    <xf borderId="1" fillId="4" fontId="3" numFmtId="2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1" fillId="0" fontId="10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1" fillId="2" fontId="7" numFmtId="9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shrinkToFit="0" vertical="center" wrapText="1"/>
    </xf>
    <xf borderId="2" fillId="2" fontId="7" numFmtId="0" xfId="0" applyAlignment="1" applyBorder="1" applyFont="1">
      <alignment horizontal="center" readingOrder="0" vertical="center"/>
    </xf>
    <xf borderId="1" fillId="3" fontId="10" numFmtId="9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readingOrder="0" shrinkToFit="0" vertical="center" wrapText="1"/>
    </xf>
    <xf borderId="2" fillId="2" fontId="7" numFmtId="2" xfId="0" applyAlignment="1" applyBorder="1" applyFont="1" applyNumberFormat="1">
      <alignment horizontal="center" readingOrder="0" vertical="center"/>
    </xf>
    <xf borderId="2" fillId="2" fontId="7" numFmtId="2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4" fontId="7" numFmtId="9" xfId="0" applyAlignment="1" applyBorder="1" applyFont="1" applyNumberFormat="1">
      <alignment horizontal="center" vertical="center"/>
    </xf>
    <xf borderId="2" fillId="4" fontId="7" numFmtId="0" xfId="0" applyAlignment="1" applyBorder="1" applyFont="1">
      <alignment shrinkToFit="0" vertical="center" wrapText="1"/>
    </xf>
    <xf borderId="2" fillId="4" fontId="7" numFmtId="0" xfId="0" applyAlignment="1" applyBorder="1" applyFont="1">
      <alignment horizontal="center" vertical="center"/>
    </xf>
    <xf borderId="2" fillId="4" fontId="7" numFmtId="2" xfId="0" applyAlignment="1" applyBorder="1" applyFont="1" applyNumberFormat="1">
      <alignment horizontal="center" vertical="center"/>
    </xf>
    <xf borderId="2" fillId="4" fontId="7" numFmtId="0" xfId="0" applyAlignment="1" applyBorder="1" applyFont="1">
      <alignment readingOrder="0" shrinkToFit="0" vertical="center" wrapText="1"/>
    </xf>
    <xf borderId="2" fillId="4" fontId="7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shrinkToFit="0" vertical="center" wrapText="1"/>
    </xf>
    <xf borderId="1" fillId="4" fontId="7" numFmtId="2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7" numFmtId="9" xfId="0" applyAlignment="1" applyBorder="1" applyFont="1" applyNumberFormat="1">
      <alignment horizontal="center" vertical="center"/>
    </xf>
    <xf borderId="2" fillId="5" fontId="7" numFmtId="0" xfId="0" applyAlignment="1" applyBorder="1" applyFont="1">
      <alignment shrinkToFit="0" vertical="center" wrapText="1"/>
    </xf>
    <xf borderId="2" fillId="5" fontId="7" numFmtId="0" xfId="0" applyAlignment="1" applyBorder="1" applyFont="1">
      <alignment horizontal="center" readingOrder="0" vertical="center"/>
    </xf>
    <xf borderId="2" fillId="5" fontId="7" numFmtId="2" xfId="0" applyAlignment="1" applyBorder="1" applyFont="1" applyNumberFormat="1">
      <alignment horizontal="center" vertical="center"/>
    </xf>
    <xf borderId="2" fillId="5" fontId="7" numFmtId="2" xfId="0" applyAlignment="1" applyBorder="1" applyFont="1" applyNumberFormat="1">
      <alignment horizontal="center" readingOrder="0" vertical="center"/>
    </xf>
    <xf borderId="2" fillId="5" fontId="11" numFmtId="0" xfId="0" applyAlignment="1" applyBorder="1" applyFont="1">
      <alignment vertical="center"/>
    </xf>
    <xf borderId="1" fillId="6" fontId="7" numFmtId="0" xfId="0" applyAlignment="1" applyBorder="1" applyFont="1">
      <alignment horizontal="center" vertical="center"/>
    </xf>
    <xf borderId="1" fillId="6" fontId="7" numFmtId="9" xfId="0" applyAlignment="1" applyBorder="1" applyFont="1" applyNumberFormat="1">
      <alignment horizontal="center" vertical="center"/>
    </xf>
    <xf borderId="2" fillId="6" fontId="7" numFmtId="0" xfId="0" applyAlignment="1" applyBorder="1" applyFont="1">
      <alignment shrinkToFit="0" vertical="center" wrapText="1"/>
    </xf>
    <xf borderId="2" fillId="6" fontId="7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readingOrder="0" shrinkToFit="0" vertical="center" wrapText="1"/>
    </xf>
    <xf borderId="2" fillId="6" fontId="7" numFmtId="2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center" vertical="center"/>
    </xf>
    <xf borderId="1" fillId="7" fontId="7" numFmtId="9" xfId="0" applyAlignment="1" applyBorder="1" applyFont="1" applyNumberFormat="1">
      <alignment horizontal="center" vertical="center"/>
    </xf>
    <xf borderId="1" fillId="7" fontId="7" numFmtId="9" xfId="0" applyAlignment="1" applyBorder="1" applyFont="1" applyNumberFormat="1">
      <alignment horizontal="center" readingOrder="0" vertical="center"/>
    </xf>
    <xf borderId="1" fillId="7" fontId="7" numFmtId="0" xfId="0" applyAlignment="1" applyBorder="1" applyFont="1">
      <alignment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2" fillId="7" fontId="7" numFmtId="0" xfId="0" applyAlignment="1" applyBorder="1" applyFont="1">
      <alignment shrinkToFit="0" vertical="center" wrapText="1"/>
    </xf>
    <xf borderId="2" fillId="7" fontId="7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left" readingOrder="0" shrinkToFit="0" vertical="center" wrapText="1"/>
    </xf>
    <xf borderId="2" fillId="0" fontId="12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2" fillId="4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2" fillId="8" fontId="14" numFmtId="0" xfId="0" applyAlignment="1" applyBorder="1" applyFill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2" fillId="0" fontId="15" numFmtId="0" xfId="0" applyAlignment="1" applyBorder="1" applyFont="1">
      <alignment vertical="bottom"/>
    </xf>
    <xf borderId="2" fillId="9" fontId="15" numFmtId="0" xfId="0" applyAlignment="1" applyBorder="1" applyFill="1" applyFont="1">
      <alignment vertical="bottom"/>
    </xf>
    <xf borderId="2" fillId="4" fontId="15" numFmtId="0" xfId="0" applyAlignment="1" applyBorder="1" applyFont="1">
      <alignment vertical="bottom"/>
    </xf>
    <xf borderId="2" fillId="10" fontId="15" numFmtId="0" xfId="0" applyAlignment="1" applyBorder="1" applyFill="1" applyFont="1">
      <alignment vertical="bottom"/>
    </xf>
    <xf borderId="2" fillId="11" fontId="15" numFmtId="0" xfId="0" applyAlignment="1" applyBorder="1" applyFill="1" applyFont="1">
      <alignment vertical="bottom"/>
    </xf>
    <xf borderId="2" fillId="12" fontId="15" numFmtId="0" xfId="0" applyAlignment="1" applyBorder="1" applyFill="1" applyFont="1">
      <alignment vertical="bottom"/>
    </xf>
    <xf borderId="2" fillId="13" fontId="15" numFmtId="0" xfId="0" applyAlignment="1" applyBorder="1" applyFill="1" applyFont="1">
      <alignment vertical="bottom"/>
    </xf>
    <xf borderId="0" fillId="0" fontId="11" numFmtId="0" xfId="0" applyAlignment="1" applyFont="1">
      <alignment vertical="bottom"/>
    </xf>
    <xf borderId="0" fillId="14" fontId="16" numFmtId="0" xfId="0" applyAlignment="1" applyFill="1" applyFont="1">
      <alignment readingOrder="0"/>
    </xf>
    <xf borderId="0" fillId="0" fontId="16" numFmtId="9" xfId="0" applyFont="1" applyNumberFormat="1"/>
    <xf borderId="0" fillId="0" fontId="16" numFmtId="9" xfId="0" applyAlignment="1" applyFont="1" applyNumberFormat="1">
      <alignment readingOrder="0"/>
    </xf>
    <xf borderId="0" fillId="0" fontId="16" numFmtId="0" xfId="0" applyFont="1"/>
    <xf borderId="0" fillId="15" fontId="6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0" fillId="14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4" fontId="16" numFmtId="0" xfId="0" applyAlignment="1" applyFont="1">
      <alignment readingOrder="0"/>
    </xf>
    <xf borderId="0" fillId="6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ser" id="{c1571697-eb85-4e01-a42c-0c7d6323b45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60" dT="2026-05-17T22:46:24.00" personId="{c1571697-eb85-4e01-a42c-0c7d6323b450}" id="{26882b14-69f5-48fb-b718-f34a8c701686}" done="1">
    <x18tc:text xml:space="preserve">review???? 0,5 or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4.88"/>
    <col customWidth="1" min="5" max="5" width="20.88"/>
    <col customWidth="1" min="8" max="8" width="2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5" t="s">
        <v>12</v>
      </c>
      <c r="C2" s="6">
        <f>(G2*F2)+(G6*F6)+(G8*F8)+(G11*F11)</f>
        <v>0.5899365</v>
      </c>
      <c r="D2" s="6">
        <v>0.3</v>
      </c>
      <c r="E2" s="5" t="s">
        <v>13</v>
      </c>
      <c r="F2" s="6">
        <f>(J2*I2)+(J3*I3)+(J4*I4)+(J5*I5)</f>
        <v>0.72915</v>
      </c>
      <c r="G2" s="6">
        <v>0.3</v>
      </c>
      <c r="H2" s="7" t="s">
        <v>14</v>
      </c>
      <c r="I2" s="8">
        <v>0.76</v>
      </c>
      <c r="J2" s="9">
        <v>0.15</v>
      </c>
      <c r="K2" s="10">
        <f>(C2*D2)+(C13*D13)+(C24*D24)+(C28*D28)+(C35*D35)</f>
        <v>0.53016845</v>
      </c>
    </row>
    <row r="3">
      <c r="A3" s="11"/>
      <c r="B3" s="11"/>
      <c r="C3" s="11"/>
      <c r="D3" s="11"/>
      <c r="E3" s="11"/>
      <c r="F3" s="11"/>
      <c r="G3" s="11"/>
      <c r="H3" s="7" t="s">
        <v>15</v>
      </c>
      <c r="I3" s="8">
        <v>0.77</v>
      </c>
      <c r="J3" s="9">
        <v>0.5</v>
      </c>
      <c r="K3" s="11"/>
      <c r="O3" s="12" t="s">
        <v>16</v>
      </c>
      <c r="R3" s="12" t="s">
        <v>17</v>
      </c>
    </row>
    <row r="4">
      <c r="A4" s="11"/>
      <c r="B4" s="11"/>
      <c r="C4" s="11"/>
      <c r="D4" s="11"/>
      <c r="E4" s="11"/>
      <c r="F4" s="11"/>
      <c r="G4" s="11"/>
      <c r="H4" s="7" t="s">
        <v>18</v>
      </c>
      <c r="I4" s="13">
        <f>4.41/10</f>
        <v>0.441</v>
      </c>
      <c r="J4" s="9">
        <v>0.15</v>
      </c>
      <c r="K4" s="11"/>
      <c r="O4" s="14" t="s">
        <v>11</v>
      </c>
      <c r="P4" s="12">
        <v>1.0</v>
      </c>
    </row>
    <row r="5">
      <c r="A5" s="11"/>
      <c r="B5" s="11"/>
      <c r="C5" s="11"/>
      <c r="D5" s="11"/>
      <c r="E5" s="15"/>
      <c r="F5" s="15"/>
      <c r="G5" s="15"/>
      <c r="H5" s="7" t="s">
        <v>19</v>
      </c>
      <c r="I5" s="8">
        <v>0.82</v>
      </c>
      <c r="J5" s="9">
        <v>0.2</v>
      </c>
      <c r="K5" s="11"/>
      <c r="O5" s="14" t="s">
        <v>20</v>
      </c>
      <c r="P5" s="12">
        <v>1.0</v>
      </c>
    </row>
    <row r="6">
      <c r="A6" s="11"/>
      <c r="B6" s="11"/>
      <c r="C6" s="11"/>
      <c r="D6" s="11"/>
      <c r="E6" s="5" t="s">
        <v>21</v>
      </c>
      <c r="F6" s="6">
        <f>(J6*I6)+(I7*J7)</f>
        <v>0.52125</v>
      </c>
      <c r="G6" s="6">
        <v>0.25</v>
      </c>
      <c r="H6" s="7" t="s">
        <v>22</v>
      </c>
      <c r="I6" s="8">
        <f>6/10</f>
        <v>0.6</v>
      </c>
      <c r="J6" s="9">
        <v>0.7</v>
      </c>
      <c r="K6" s="11"/>
      <c r="O6" s="14" t="s">
        <v>23</v>
      </c>
      <c r="P6" s="12">
        <v>1.0</v>
      </c>
    </row>
    <row r="7">
      <c r="A7" s="11"/>
      <c r="B7" s="11"/>
      <c r="C7" s="11"/>
      <c r="D7" s="11"/>
      <c r="E7" s="15"/>
      <c r="F7" s="15"/>
      <c r="G7" s="15"/>
      <c r="H7" s="7" t="s">
        <v>24</v>
      </c>
      <c r="I7" s="13">
        <f>1.35/4</f>
        <v>0.3375</v>
      </c>
      <c r="J7" s="9">
        <v>0.3</v>
      </c>
      <c r="K7" s="11"/>
      <c r="O7" s="14" t="s">
        <v>25</v>
      </c>
      <c r="P7" s="12">
        <v>1.0</v>
      </c>
    </row>
    <row r="8">
      <c r="A8" s="11"/>
      <c r="B8" s="11"/>
      <c r="C8" s="11"/>
      <c r="D8" s="11"/>
      <c r="E8" s="5" t="s">
        <v>26</v>
      </c>
      <c r="F8" s="6">
        <f>(J8*I8)+(I9*J9)+(I10*J10)</f>
        <v>0.55143</v>
      </c>
      <c r="G8" s="6">
        <v>0.3</v>
      </c>
      <c r="H8" s="7" t="s">
        <v>27</v>
      </c>
      <c r="I8" s="13">
        <f>42.98/100</f>
        <v>0.4298</v>
      </c>
      <c r="J8" s="9">
        <v>0.35</v>
      </c>
      <c r="K8" s="11"/>
      <c r="O8" s="14" t="s">
        <v>28</v>
      </c>
      <c r="P8" s="12">
        <v>1.0</v>
      </c>
    </row>
    <row r="9">
      <c r="A9" s="11"/>
      <c r="B9" s="11"/>
      <c r="C9" s="11"/>
      <c r="D9" s="11"/>
      <c r="E9" s="11"/>
      <c r="F9" s="11"/>
      <c r="G9" s="11"/>
      <c r="H9" s="7" t="s">
        <v>29</v>
      </c>
      <c r="I9" s="8">
        <f>45/100</f>
        <v>0.45</v>
      </c>
      <c r="J9" s="9">
        <v>0.3</v>
      </c>
      <c r="K9" s="11"/>
      <c r="O9" s="14" t="s">
        <v>30</v>
      </c>
      <c r="P9" s="12">
        <v>1.0</v>
      </c>
    </row>
    <row r="10">
      <c r="A10" s="11"/>
      <c r="B10" s="11"/>
      <c r="C10" s="11"/>
      <c r="D10" s="11"/>
      <c r="E10" s="15"/>
      <c r="F10" s="15"/>
      <c r="G10" s="15"/>
      <c r="H10" s="7" t="s">
        <v>31</v>
      </c>
      <c r="I10" s="8">
        <v>0.76</v>
      </c>
      <c r="J10" s="9">
        <v>0.35</v>
      </c>
      <c r="K10" s="11"/>
      <c r="O10" s="14" t="s">
        <v>32</v>
      </c>
      <c r="P10" s="12">
        <v>1.0</v>
      </c>
    </row>
    <row r="11">
      <c r="A11" s="11"/>
      <c r="B11" s="11"/>
      <c r="C11" s="11"/>
      <c r="D11" s="11"/>
      <c r="E11" s="5" t="s">
        <v>33</v>
      </c>
      <c r="F11" s="6">
        <f>(J11*I11)+(I12*J12)</f>
        <v>0.503</v>
      </c>
      <c r="G11" s="6">
        <v>0.15</v>
      </c>
      <c r="H11" s="7" t="s">
        <v>34</v>
      </c>
      <c r="I11" s="8">
        <v>0.38</v>
      </c>
      <c r="J11" s="9">
        <v>0.6</v>
      </c>
      <c r="K11" s="11"/>
      <c r="O11" s="14" t="s">
        <v>35</v>
      </c>
      <c r="P11" s="12">
        <v>1.0</v>
      </c>
    </row>
    <row r="12">
      <c r="A12" s="11"/>
      <c r="B12" s="15"/>
      <c r="C12" s="15"/>
      <c r="D12" s="15"/>
      <c r="E12" s="15"/>
      <c r="F12" s="15"/>
      <c r="G12" s="15"/>
      <c r="H12" s="7" t="s">
        <v>36</v>
      </c>
      <c r="I12" s="13">
        <f>2.75/4</f>
        <v>0.6875</v>
      </c>
      <c r="J12" s="9">
        <v>0.4</v>
      </c>
      <c r="K12" s="11"/>
      <c r="O12" s="14" t="s">
        <v>37</v>
      </c>
      <c r="P12" s="12">
        <v>1.0</v>
      </c>
    </row>
    <row r="13">
      <c r="A13" s="11"/>
      <c r="B13" s="16" t="s">
        <v>38</v>
      </c>
      <c r="C13" s="17">
        <f>(G13*F13)+(F17*G17)+(F21*G21)</f>
        <v>0.5599</v>
      </c>
      <c r="D13" s="17">
        <v>0.2</v>
      </c>
      <c r="E13" s="18" t="s">
        <v>39</v>
      </c>
      <c r="F13" s="17">
        <f>(J13*I13)+(J14*I14)+(J15*I15)+(J16*I16)</f>
        <v>0.508</v>
      </c>
      <c r="G13" s="17">
        <v>0.35</v>
      </c>
      <c r="H13" s="19" t="s">
        <v>40</v>
      </c>
      <c r="I13" s="20">
        <f>4/10</f>
        <v>0.4</v>
      </c>
      <c r="J13" s="21">
        <v>0.3</v>
      </c>
      <c r="K13" s="11"/>
      <c r="N13" s="22"/>
      <c r="O13" s="14" t="s">
        <v>41</v>
      </c>
      <c r="P13" s="12">
        <v>1.0</v>
      </c>
    </row>
    <row r="14">
      <c r="A14" s="11"/>
      <c r="B14" s="11"/>
      <c r="C14" s="11"/>
      <c r="D14" s="11"/>
      <c r="E14" s="11"/>
      <c r="F14" s="11"/>
      <c r="G14" s="11"/>
      <c r="H14" s="19" t="s">
        <v>42</v>
      </c>
      <c r="I14" s="23">
        <f>3.54/4</f>
        <v>0.885</v>
      </c>
      <c r="J14" s="21">
        <v>0.2</v>
      </c>
      <c r="K14" s="11"/>
      <c r="N14" s="24"/>
      <c r="O14" s="14" t="s">
        <v>43</v>
      </c>
      <c r="P14" s="12">
        <v>1.0</v>
      </c>
    </row>
    <row r="15">
      <c r="A15" s="11"/>
      <c r="B15" s="11"/>
      <c r="C15" s="11"/>
      <c r="D15" s="11"/>
      <c r="E15" s="11"/>
      <c r="F15" s="11"/>
      <c r="G15" s="11"/>
      <c r="H15" s="19" t="s">
        <v>44</v>
      </c>
      <c r="I15" s="20">
        <f>2/4</f>
        <v>0.5</v>
      </c>
      <c r="J15" s="21">
        <v>0.2</v>
      </c>
      <c r="K15" s="11"/>
      <c r="N15" s="24"/>
      <c r="O15" s="14" t="s">
        <v>45</v>
      </c>
      <c r="P15" s="12">
        <v>1.0</v>
      </c>
    </row>
    <row r="16">
      <c r="A16" s="11"/>
      <c r="B16" s="11"/>
      <c r="C16" s="11"/>
      <c r="D16" s="11"/>
      <c r="E16" s="15"/>
      <c r="F16" s="15"/>
      <c r="G16" s="15"/>
      <c r="H16" s="19" t="s">
        <v>46</v>
      </c>
      <c r="I16" s="20">
        <f>1.48/4</f>
        <v>0.37</v>
      </c>
      <c r="J16" s="21">
        <v>0.3</v>
      </c>
      <c r="K16" s="11"/>
      <c r="O16" s="14" t="s">
        <v>47</v>
      </c>
      <c r="P16" s="12">
        <v>1.0</v>
      </c>
    </row>
    <row r="17">
      <c r="A17" s="11"/>
      <c r="B17" s="11"/>
      <c r="C17" s="11"/>
      <c r="D17" s="11"/>
      <c r="E17" s="18" t="s">
        <v>48</v>
      </c>
      <c r="F17" s="17">
        <f>(J17*I17)+(J18*I18)+(J19*I19)</f>
        <v>0.5765</v>
      </c>
      <c r="G17" s="17">
        <v>0.4</v>
      </c>
      <c r="H17" s="19" t="s">
        <v>49</v>
      </c>
      <c r="I17" s="20">
        <v>0.515</v>
      </c>
      <c r="J17" s="21">
        <v>0.5</v>
      </c>
      <c r="K17" s="11"/>
      <c r="O17" s="14" t="s">
        <v>50</v>
      </c>
      <c r="P17" s="12">
        <v>1.0</v>
      </c>
    </row>
    <row r="18">
      <c r="A18" s="11"/>
      <c r="B18" s="11"/>
      <c r="C18" s="11"/>
      <c r="D18" s="11"/>
      <c r="E18" s="11"/>
      <c r="F18" s="11"/>
      <c r="G18" s="11"/>
      <c r="H18" s="19" t="s">
        <v>51</v>
      </c>
      <c r="I18" s="20">
        <v>0.55</v>
      </c>
      <c r="J18" s="21">
        <v>0.3</v>
      </c>
      <c r="K18" s="11"/>
      <c r="O18" s="14" t="s">
        <v>52</v>
      </c>
      <c r="P18" s="12">
        <v>1.0</v>
      </c>
    </row>
    <row r="19">
      <c r="A19" s="11"/>
      <c r="B19" s="11"/>
      <c r="C19" s="11"/>
      <c r="D19" s="11"/>
      <c r="E19" s="11"/>
      <c r="F19" s="11"/>
      <c r="G19" s="11"/>
      <c r="H19" s="25" t="s">
        <v>53</v>
      </c>
      <c r="I19" s="16">
        <f>3.08/4</f>
        <v>0.77</v>
      </c>
      <c r="J19" s="17">
        <v>0.2</v>
      </c>
      <c r="K19" s="11"/>
      <c r="O19" s="14" t="s">
        <v>54</v>
      </c>
      <c r="P19" s="12">
        <v>1.0</v>
      </c>
    </row>
    <row r="20">
      <c r="A20" s="11"/>
      <c r="B20" s="11"/>
      <c r="C20" s="11"/>
      <c r="D20" s="11"/>
      <c r="E20" s="15"/>
      <c r="F20" s="15"/>
      <c r="G20" s="15"/>
      <c r="H20" s="15"/>
      <c r="I20" s="15"/>
      <c r="J20" s="15"/>
      <c r="K20" s="11"/>
      <c r="P20" s="26">
        <f>SUM(P4:P19)</f>
        <v>16</v>
      </c>
      <c r="Q20" s="12" t="s">
        <v>55</v>
      </c>
    </row>
    <row r="21">
      <c r="A21" s="11"/>
      <c r="B21" s="11"/>
      <c r="C21" s="11"/>
      <c r="D21" s="11"/>
      <c r="E21" s="18" t="s">
        <v>56</v>
      </c>
      <c r="F21" s="17">
        <f>(J21*I21)+(I22*J22)+(I23*J23)</f>
        <v>0.606</v>
      </c>
      <c r="G21" s="17">
        <v>0.25</v>
      </c>
      <c r="H21" s="19" t="s">
        <v>57</v>
      </c>
      <c r="I21" s="23">
        <f>(100-34.4)/100</f>
        <v>0.656</v>
      </c>
      <c r="J21" s="21">
        <v>0.25</v>
      </c>
      <c r="K21" s="11"/>
    </row>
    <row r="22">
      <c r="A22" s="11"/>
      <c r="B22" s="11"/>
      <c r="C22" s="11"/>
      <c r="D22" s="11"/>
      <c r="E22" s="11"/>
      <c r="F22" s="11"/>
      <c r="G22" s="11"/>
      <c r="H22" s="19" t="s">
        <v>58</v>
      </c>
      <c r="I22" s="20">
        <f>2.26/4</f>
        <v>0.565</v>
      </c>
      <c r="J22" s="21">
        <v>0.5</v>
      </c>
      <c r="K22" s="11"/>
    </row>
    <row r="23">
      <c r="A23" s="11"/>
      <c r="B23" s="15"/>
      <c r="C23" s="15"/>
      <c r="D23" s="15"/>
      <c r="E23" s="15"/>
      <c r="F23" s="15"/>
      <c r="G23" s="15"/>
      <c r="H23" s="19" t="s">
        <v>59</v>
      </c>
      <c r="I23" s="23">
        <f>(100-36.2)/100</f>
        <v>0.638</v>
      </c>
      <c r="J23" s="21">
        <v>0.25</v>
      </c>
      <c r="K23" s="11"/>
    </row>
    <row r="24">
      <c r="A24" s="11"/>
      <c r="B24" s="27" t="s">
        <v>60</v>
      </c>
      <c r="C24" s="28">
        <f>(G24*F24)+(F26*G26)</f>
        <v>0.4727</v>
      </c>
      <c r="D24" s="28">
        <v>0.2</v>
      </c>
      <c r="E24" s="29" t="s">
        <v>61</v>
      </c>
      <c r="F24" s="28">
        <f>(J24*I24)+(I25*J25)</f>
        <v>0.586</v>
      </c>
      <c r="G24" s="28">
        <v>0.45</v>
      </c>
      <c r="H24" s="30" t="s">
        <v>62</v>
      </c>
      <c r="I24" s="31">
        <v>0.53</v>
      </c>
      <c r="J24" s="32">
        <v>0.6</v>
      </c>
      <c r="K24" s="11"/>
    </row>
    <row r="25">
      <c r="A25" s="11"/>
      <c r="B25" s="11"/>
      <c r="C25" s="11"/>
      <c r="D25" s="11"/>
      <c r="E25" s="15"/>
      <c r="F25" s="15"/>
      <c r="G25" s="15"/>
      <c r="H25" s="30" t="s">
        <v>63</v>
      </c>
      <c r="I25" s="33">
        <f>2.01/3</f>
        <v>0.67</v>
      </c>
      <c r="J25" s="32">
        <v>0.4</v>
      </c>
      <c r="K25" s="11"/>
    </row>
    <row r="26">
      <c r="A26" s="11"/>
      <c r="B26" s="11"/>
      <c r="C26" s="11"/>
      <c r="D26" s="11"/>
      <c r="E26" s="29" t="s">
        <v>64</v>
      </c>
      <c r="F26" s="28">
        <f>(J26*I26)+(I27*J27)</f>
        <v>0.38</v>
      </c>
      <c r="G26" s="28">
        <v>0.55</v>
      </c>
      <c r="H26" s="30" t="s">
        <v>65</v>
      </c>
      <c r="I26" s="33">
        <f>((7+6+6)/3)/10</f>
        <v>0.6333333333</v>
      </c>
      <c r="J26" s="32">
        <v>0.6</v>
      </c>
      <c r="K26" s="11"/>
    </row>
    <row r="27">
      <c r="A27" s="11"/>
      <c r="B27" s="15"/>
      <c r="C27" s="15"/>
      <c r="D27" s="15"/>
      <c r="E27" s="15"/>
      <c r="F27" s="15"/>
      <c r="G27" s="15"/>
      <c r="H27" s="30" t="s">
        <v>66</v>
      </c>
      <c r="I27" s="31"/>
      <c r="J27" s="32">
        <v>0.4</v>
      </c>
      <c r="K27" s="11"/>
    </row>
    <row r="28">
      <c r="A28" s="11"/>
      <c r="B28" s="34" t="s">
        <v>67</v>
      </c>
      <c r="C28" s="35">
        <f>(F28*G28)+(F32*G32)</f>
        <v>0.7197375</v>
      </c>
      <c r="D28" s="35">
        <v>0.2</v>
      </c>
      <c r="E28" s="36" t="s">
        <v>68</v>
      </c>
      <c r="F28" s="35">
        <f>(J28*I28)+(J29*I29)+(J30*I30)+(J31*I31)</f>
        <v>0.63975</v>
      </c>
      <c r="G28" s="35">
        <v>0.55</v>
      </c>
      <c r="H28" s="37" t="s">
        <v>69</v>
      </c>
      <c r="I28" s="38">
        <v>0.64</v>
      </c>
      <c r="J28" s="39">
        <v>0.35</v>
      </c>
      <c r="K28" s="11"/>
    </row>
    <row r="29">
      <c r="A29" s="11"/>
      <c r="B29" s="11"/>
      <c r="C29" s="11"/>
      <c r="D29" s="11"/>
      <c r="E29" s="11"/>
      <c r="F29" s="11"/>
      <c r="G29" s="11"/>
      <c r="H29" s="37" t="s">
        <v>70</v>
      </c>
      <c r="I29" s="40">
        <f>1.91/4</f>
        <v>0.4775</v>
      </c>
      <c r="J29" s="39">
        <v>0.35</v>
      </c>
      <c r="K29" s="11"/>
    </row>
    <row r="30">
      <c r="A30" s="11"/>
      <c r="B30" s="11"/>
      <c r="C30" s="11"/>
      <c r="D30" s="11"/>
      <c r="E30" s="11"/>
      <c r="F30" s="11"/>
      <c r="G30" s="11"/>
      <c r="H30" s="37" t="s">
        <v>71</v>
      </c>
      <c r="I30" s="40">
        <f>2.63/4</f>
        <v>0.6575</v>
      </c>
      <c r="J30" s="39">
        <v>0.15</v>
      </c>
      <c r="K30" s="11"/>
    </row>
    <row r="31">
      <c r="A31" s="11"/>
      <c r="B31" s="11"/>
      <c r="C31" s="11"/>
      <c r="D31" s="11"/>
      <c r="E31" s="15"/>
      <c r="F31" s="15"/>
      <c r="G31" s="15"/>
      <c r="H31" s="37" t="s">
        <v>72</v>
      </c>
      <c r="I31" s="38">
        <v>1.0</v>
      </c>
      <c r="J31" s="39">
        <v>0.15</v>
      </c>
      <c r="K31" s="11"/>
    </row>
    <row r="32">
      <c r="A32" s="11"/>
      <c r="B32" s="11"/>
      <c r="C32" s="11"/>
      <c r="D32" s="11"/>
      <c r="E32" s="34" t="s">
        <v>73</v>
      </c>
      <c r="F32" s="35">
        <f>(J32*I32)+(I33*J33)+(I34*J34)</f>
        <v>0.8175</v>
      </c>
      <c r="G32" s="35">
        <v>0.45</v>
      </c>
      <c r="H32" s="37" t="s">
        <v>74</v>
      </c>
      <c r="I32" s="40">
        <f>2.77/4</f>
        <v>0.6925</v>
      </c>
      <c r="J32" s="39">
        <v>0.3</v>
      </c>
      <c r="K32" s="11"/>
    </row>
    <row r="33">
      <c r="A33" s="11"/>
      <c r="B33" s="11"/>
      <c r="C33" s="11"/>
      <c r="D33" s="11"/>
      <c r="E33" s="11"/>
      <c r="F33" s="11"/>
      <c r="G33" s="11"/>
      <c r="H33" s="37" t="s">
        <v>75</v>
      </c>
      <c r="I33" s="40">
        <f>3.73/4</f>
        <v>0.9325</v>
      </c>
      <c r="J33" s="39">
        <v>0.3</v>
      </c>
      <c r="K33" s="11"/>
    </row>
    <row r="34">
      <c r="A34" s="11"/>
      <c r="B34" s="15"/>
      <c r="C34" s="15"/>
      <c r="D34" s="15"/>
      <c r="E34" s="15"/>
      <c r="F34" s="15"/>
      <c r="G34" s="15"/>
      <c r="H34" s="37" t="s">
        <v>76</v>
      </c>
      <c r="I34" s="40">
        <f>3.3/4</f>
        <v>0.825</v>
      </c>
      <c r="J34" s="39">
        <v>0.4</v>
      </c>
      <c r="K34" s="11"/>
    </row>
    <row r="35">
      <c r="A35" s="11"/>
      <c r="B35" s="41" t="s">
        <v>77</v>
      </c>
      <c r="C35" s="42">
        <f>(F35*G35)+(F37*G37)</f>
        <v>0.0272</v>
      </c>
      <c r="D35" s="42">
        <v>0.1</v>
      </c>
      <c r="E35" s="41" t="s">
        <v>78</v>
      </c>
      <c r="F35" s="42">
        <f>(J35*I35)+(I36*J36)</f>
        <v>0</v>
      </c>
      <c r="G35" s="42">
        <v>0.6</v>
      </c>
      <c r="H35" s="43" t="s">
        <v>79</v>
      </c>
      <c r="I35" s="44">
        <v>0.0</v>
      </c>
      <c r="J35" s="45">
        <v>0.5</v>
      </c>
      <c r="K35" s="11"/>
    </row>
    <row r="36">
      <c r="A36" s="11"/>
      <c r="B36" s="11"/>
      <c r="C36" s="11"/>
      <c r="D36" s="11"/>
      <c r="E36" s="15"/>
      <c r="F36" s="15"/>
      <c r="G36" s="15"/>
      <c r="H36" s="43" t="s">
        <v>80</v>
      </c>
      <c r="I36" s="44">
        <v>0.0</v>
      </c>
      <c r="J36" s="45">
        <v>0.5</v>
      </c>
      <c r="K36" s="11"/>
    </row>
    <row r="37">
      <c r="A37" s="11"/>
      <c r="B37" s="11"/>
      <c r="C37" s="11"/>
      <c r="D37" s="11"/>
      <c r="E37" s="41" t="s">
        <v>81</v>
      </c>
      <c r="F37" s="42">
        <f>(J37*I37)+(I38*J38)</f>
        <v>0.068</v>
      </c>
      <c r="G37" s="42">
        <v>0.4</v>
      </c>
      <c r="H37" s="43" t="s">
        <v>82</v>
      </c>
      <c r="I37" s="44">
        <v>0.0</v>
      </c>
      <c r="J37" s="46">
        <v>0.6</v>
      </c>
      <c r="K37" s="11"/>
    </row>
    <row r="38">
      <c r="A38" s="15"/>
      <c r="B38" s="15"/>
      <c r="C38" s="15"/>
      <c r="D38" s="15"/>
      <c r="E38" s="15"/>
      <c r="F38" s="15"/>
      <c r="G38" s="15"/>
      <c r="H38" s="43" t="s">
        <v>83</v>
      </c>
      <c r="I38" s="44">
        <v>0.17</v>
      </c>
      <c r="J38" s="46">
        <v>0.4</v>
      </c>
      <c r="K38" s="15"/>
    </row>
    <row r="41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3" t="s">
        <v>7</v>
      </c>
      <c r="I41" s="2" t="s">
        <v>8</v>
      </c>
      <c r="J41" s="2" t="s">
        <v>9</v>
      </c>
      <c r="K41" s="2" t="s">
        <v>10</v>
      </c>
    </row>
    <row r="42">
      <c r="A42" s="4" t="s">
        <v>20</v>
      </c>
      <c r="B42" s="5" t="s">
        <v>12</v>
      </c>
      <c r="C42" s="6">
        <f>(G42*F42)+(G46*F46)+(G48*F48)+(G51*F51)</f>
        <v>0.3689245</v>
      </c>
      <c r="D42" s="6">
        <v>0.3</v>
      </c>
      <c r="E42" s="5" t="s">
        <v>13</v>
      </c>
      <c r="F42" s="6">
        <f>(J42*I42)+(J43*I43)+(J44*I44)+(J45*I45)</f>
        <v>0.51045</v>
      </c>
      <c r="G42" s="6">
        <v>0.3</v>
      </c>
      <c r="H42" s="7" t="s">
        <v>14</v>
      </c>
      <c r="I42" s="8">
        <v>0.69</v>
      </c>
      <c r="J42" s="9">
        <v>0.15</v>
      </c>
      <c r="K42" s="10">
        <f>(C42*D42)+(C53*D53)+(C64*D64)+(C68*D68)+(C75*D75)</f>
        <v>0.4459861</v>
      </c>
    </row>
    <row r="43">
      <c r="A43" s="11"/>
      <c r="B43" s="11"/>
      <c r="C43" s="11"/>
      <c r="D43" s="11"/>
      <c r="E43" s="11"/>
      <c r="F43" s="11"/>
      <c r="G43" s="11"/>
      <c r="H43" s="7" t="s">
        <v>15</v>
      </c>
      <c r="I43" s="8">
        <v>0.48</v>
      </c>
      <c r="J43" s="9">
        <v>0.5</v>
      </c>
      <c r="K43" s="11"/>
    </row>
    <row r="44">
      <c r="A44" s="11"/>
      <c r="B44" s="11"/>
      <c r="C44" s="11"/>
      <c r="D44" s="11"/>
      <c r="E44" s="11"/>
      <c r="F44" s="11"/>
      <c r="G44" s="11"/>
      <c r="H44" s="7" t="s">
        <v>18</v>
      </c>
      <c r="I44" s="13">
        <f>3.53/10</f>
        <v>0.353</v>
      </c>
      <c r="J44" s="9">
        <v>0.15</v>
      </c>
      <c r="K44" s="11"/>
    </row>
    <row r="45">
      <c r="A45" s="11"/>
      <c r="B45" s="11"/>
      <c r="C45" s="11"/>
      <c r="D45" s="11"/>
      <c r="E45" s="15"/>
      <c r="F45" s="15"/>
      <c r="G45" s="15"/>
      <c r="H45" s="7" t="s">
        <v>19</v>
      </c>
      <c r="I45" s="8">
        <v>0.57</v>
      </c>
      <c r="J45" s="9">
        <v>0.2</v>
      </c>
      <c r="K45" s="11"/>
    </row>
    <row r="46">
      <c r="A46" s="11"/>
      <c r="B46" s="11"/>
      <c r="C46" s="11"/>
      <c r="D46" s="11"/>
      <c r="E46" s="5" t="s">
        <v>21</v>
      </c>
      <c r="F46" s="6">
        <f>(J46*I46)+(I47*J47)</f>
        <v>0.18325</v>
      </c>
      <c r="G46" s="6">
        <v>0.25</v>
      </c>
      <c r="H46" s="7" t="s">
        <v>22</v>
      </c>
      <c r="I46" s="8">
        <f>1/10</f>
        <v>0.1</v>
      </c>
      <c r="J46" s="9">
        <v>0.7</v>
      </c>
      <c r="K46" s="11"/>
    </row>
    <row r="47">
      <c r="A47" s="11"/>
      <c r="B47" s="11"/>
      <c r="C47" s="11"/>
      <c r="D47" s="11"/>
      <c r="E47" s="15"/>
      <c r="F47" s="15"/>
      <c r="G47" s="15"/>
      <c r="H47" s="7" t="s">
        <v>24</v>
      </c>
      <c r="I47" s="13">
        <f>1.51/4</f>
        <v>0.3775</v>
      </c>
      <c r="J47" s="9">
        <v>0.3</v>
      </c>
      <c r="K47" s="11"/>
    </row>
    <row r="48">
      <c r="A48" s="11"/>
      <c r="B48" s="11"/>
      <c r="C48" s="11"/>
      <c r="D48" s="11"/>
      <c r="E48" s="5" t="s">
        <v>26</v>
      </c>
      <c r="F48" s="6">
        <f>(J48*I48)+(I49*J49)+(I50*J50)</f>
        <v>0.36709</v>
      </c>
      <c r="G48" s="6">
        <v>0.3</v>
      </c>
      <c r="H48" s="7" t="s">
        <v>27</v>
      </c>
      <c r="I48" s="13">
        <f>42.74/100</f>
        <v>0.4274</v>
      </c>
      <c r="J48" s="9">
        <v>0.35</v>
      </c>
      <c r="K48" s="11"/>
    </row>
    <row r="49">
      <c r="A49" s="11"/>
      <c r="B49" s="11"/>
      <c r="C49" s="11"/>
      <c r="D49" s="11"/>
      <c r="E49" s="11"/>
      <c r="F49" s="11"/>
      <c r="G49" s="11"/>
      <c r="H49" s="7" t="s">
        <v>29</v>
      </c>
      <c r="I49" s="8">
        <f>41/100</f>
        <v>0.41</v>
      </c>
      <c r="J49" s="9">
        <v>0.3</v>
      </c>
      <c r="K49" s="11"/>
    </row>
    <row r="50">
      <c r="A50" s="11"/>
      <c r="B50" s="11"/>
      <c r="C50" s="11"/>
      <c r="D50" s="11"/>
      <c r="E50" s="15"/>
      <c r="F50" s="15"/>
      <c r="G50" s="15"/>
      <c r="H50" s="7" t="s">
        <v>31</v>
      </c>
      <c r="I50" s="8">
        <v>0.27</v>
      </c>
      <c r="J50" s="9">
        <v>0.35</v>
      </c>
      <c r="K50" s="11"/>
    </row>
    <row r="51">
      <c r="A51" s="11"/>
      <c r="B51" s="11"/>
      <c r="C51" s="11"/>
      <c r="D51" s="11"/>
      <c r="E51" s="5" t="s">
        <v>33</v>
      </c>
      <c r="F51" s="6">
        <f>(J51*I51)+(I52*J52)</f>
        <v>0.399</v>
      </c>
      <c r="G51" s="6">
        <v>0.15</v>
      </c>
      <c r="H51" s="7" t="s">
        <v>34</v>
      </c>
      <c r="I51" s="8">
        <v>0.44</v>
      </c>
      <c r="J51" s="9">
        <v>0.6</v>
      </c>
      <c r="K51" s="11"/>
    </row>
    <row r="52">
      <c r="A52" s="11"/>
      <c r="B52" s="15"/>
      <c r="C52" s="15"/>
      <c r="D52" s="15"/>
      <c r="E52" s="15"/>
      <c r="F52" s="15"/>
      <c r="G52" s="15"/>
      <c r="H52" s="7" t="s">
        <v>36</v>
      </c>
      <c r="I52" s="13">
        <f>1.35/4</f>
        <v>0.3375</v>
      </c>
      <c r="J52" s="9">
        <v>0.4</v>
      </c>
      <c r="K52" s="11"/>
    </row>
    <row r="53">
      <c r="A53" s="11"/>
      <c r="B53" s="16" t="s">
        <v>38</v>
      </c>
      <c r="C53" s="17">
        <f>(G53*F53)+(F57*G57)+(F61*G61)</f>
        <v>0.4881</v>
      </c>
      <c r="D53" s="17">
        <v>0.2</v>
      </c>
      <c r="E53" s="18" t="s">
        <v>39</v>
      </c>
      <c r="F53" s="17">
        <f>(J53*I53)+(J54*I54)+(J55*I55)+(J56*I56)</f>
        <v>0.2865</v>
      </c>
      <c r="G53" s="17">
        <v>0.35</v>
      </c>
      <c r="H53" s="19" t="s">
        <v>40</v>
      </c>
      <c r="I53" s="20">
        <f>3/10</f>
        <v>0.3</v>
      </c>
      <c r="J53" s="21">
        <v>0.3</v>
      </c>
      <c r="K53" s="11"/>
    </row>
    <row r="54">
      <c r="A54" s="11"/>
      <c r="B54" s="11"/>
      <c r="C54" s="11"/>
      <c r="D54" s="11"/>
      <c r="E54" s="11"/>
      <c r="F54" s="11"/>
      <c r="G54" s="11"/>
      <c r="H54" s="19" t="s">
        <v>42</v>
      </c>
      <c r="I54" s="23">
        <f>0.94/4</f>
        <v>0.235</v>
      </c>
      <c r="J54" s="21">
        <v>0.2</v>
      </c>
      <c r="K54" s="11"/>
    </row>
    <row r="55">
      <c r="A55" s="11"/>
      <c r="B55" s="11"/>
      <c r="C55" s="11"/>
      <c r="D55" s="11"/>
      <c r="E55" s="11"/>
      <c r="F55" s="11"/>
      <c r="G55" s="11"/>
      <c r="H55" s="19" t="s">
        <v>44</v>
      </c>
      <c r="I55" s="20">
        <f>0.95/4</f>
        <v>0.2375</v>
      </c>
      <c r="J55" s="21">
        <v>0.2</v>
      </c>
      <c r="K55" s="11"/>
    </row>
    <row r="56">
      <c r="A56" s="11"/>
      <c r="B56" s="11"/>
      <c r="C56" s="11"/>
      <c r="D56" s="11"/>
      <c r="E56" s="15"/>
      <c r="F56" s="15"/>
      <c r="G56" s="15"/>
      <c r="H56" s="19" t="s">
        <v>46</v>
      </c>
      <c r="I56" s="20">
        <f>1.36/4</f>
        <v>0.34</v>
      </c>
      <c r="J56" s="21">
        <v>0.3</v>
      </c>
      <c r="K56" s="11"/>
    </row>
    <row r="57">
      <c r="A57" s="11"/>
      <c r="B57" s="11"/>
      <c r="C57" s="11"/>
      <c r="D57" s="11"/>
      <c r="E57" s="18" t="s">
        <v>48</v>
      </c>
      <c r="F57" s="17">
        <f>(J57*I57)+(J58*I58)+(J59*I59)</f>
        <v>0.5705</v>
      </c>
      <c r="G57" s="17">
        <v>0.4</v>
      </c>
      <c r="H57" s="19" t="s">
        <v>49</v>
      </c>
      <c r="I57" s="20">
        <v>0.459</v>
      </c>
      <c r="J57" s="21">
        <v>0.5</v>
      </c>
      <c r="K57" s="11"/>
    </row>
    <row r="58">
      <c r="A58" s="11"/>
      <c r="B58" s="11"/>
      <c r="C58" s="11"/>
      <c r="D58" s="11"/>
      <c r="E58" s="11"/>
      <c r="F58" s="11"/>
      <c r="G58" s="11"/>
      <c r="H58" s="19" t="s">
        <v>51</v>
      </c>
      <c r="I58" s="20">
        <v>0.56</v>
      </c>
      <c r="J58" s="21">
        <v>0.3</v>
      </c>
      <c r="K58" s="11"/>
    </row>
    <row r="59">
      <c r="A59" s="11"/>
      <c r="B59" s="11"/>
      <c r="C59" s="11"/>
      <c r="D59" s="11"/>
      <c r="E59" s="11"/>
      <c r="F59" s="11"/>
      <c r="G59" s="11"/>
      <c r="H59" s="25" t="s">
        <v>53</v>
      </c>
      <c r="I59" s="47">
        <f>3.46/4</f>
        <v>0.865</v>
      </c>
      <c r="J59" s="17">
        <v>0.2</v>
      </c>
      <c r="K59" s="11"/>
    </row>
    <row r="60">
      <c r="A60" s="11"/>
      <c r="B60" s="11"/>
      <c r="C60" s="11"/>
      <c r="D60" s="11"/>
      <c r="E60" s="15"/>
      <c r="F60" s="15"/>
      <c r="G60" s="15"/>
      <c r="H60" s="15"/>
      <c r="I60" s="15"/>
      <c r="J60" s="15"/>
      <c r="K60" s="11"/>
    </row>
    <row r="61">
      <c r="A61" s="11"/>
      <c r="B61" s="11"/>
      <c r="C61" s="11"/>
      <c r="D61" s="11"/>
      <c r="E61" s="18" t="s">
        <v>56</v>
      </c>
      <c r="F61" s="17">
        <f>(J61*I61)+(I62*J62)+(I63*J63)</f>
        <v>0.6385</v>
      </c>
      <c r="G61" s="17">
        <v>0.25</v>
      </c>
      <c r="H61" s="19" t="s">
        <v>57</v>
      </c>
      <c r="I61" s="23">
        <f>(100-37.4)/100</f>
        <v>0.626</v>
      </c>
      <c r="J61" s="21">
        <v>0.25</v>
      </c>
      <c r="K61" s="11"/>
    </row>
    <row r="62">
      <c r="A62" s="11"/>
      <c r="B62" s="11"/>
      <c r="C62" s="11"/>
      <c r="D62" s="11"/>
      <c r="E62" s="11"/>
      <c r="F62" s="11"/>
      <c r="G62" s="11"/>
      <c r="H62" s="19" t="s">
        <v>58</v>
      </c>
      <c r="I62" s="20">
        <f>2.72/4</f>
        <v>0.68</v>
      </c>
      <c r="J62" s="21">
        <v>0.5</v>
      </c>
      <c r="K62" s="11"/>
    </row>
    <row r="63">
      <c r="A63" s="11"/>
      <c r="B63" s="15"/>
      <c r="C63" s="15"/>
      <c r="D63" s="15"/>
      <c r="E63" s="15"/>
      <c r="F63" s="15"/>
      <c r="G63" s="15"/>
      <c r="H63" s="19" t="s">
        <v>59</v>
      </c>
      <c r="I63" s="23">
        <f>(100-43.2)/100</f>
        <v>0.568</v>
      </c>
      <c r="J63" s="21">
        <v>0.25</v>
      </c>
      <c r="K63" s="11"/>
    </row>
    <row r="64">
      <c r="A64" s="11"/>
      <c r="B64" s="27" t="s">
        <v>60</v>
      </c>
      <c r="C64" s="28">
        <f>(G64*F64)+(F66*G66)</f>
        <v>0.2522</v>
      </c>
      <c r="D64" s="28">
        <v>0.2</v>
      </c>
      <c r="E64" s="29" t="s">
        <v>61</v>
      </c>
      <c r="F64" s="28">
        <f>(J64*I64)+(I65*J65)</f>
        <v>0.2426666667</v>
      </c>
      <c r="G64" s="28">
        <v>0.45</v>
      </c>
      <c r="H64" s="30" t="s">
        <v>62</v>
      </c>
      <c r="I64" s="31">
        <v>0.14</v>
      </c>
      <c r="J64" s="32">
        <v>0.6</v>
      </c>
      <c r="K64" s="11"/>
    </row>
    <row r="65">
      <c r="A65" s="11"/>
      <c r="B65" s="11"/>
      <c r="C65" s="11"/>
      <c r="D65" s="11"/>
      <c r="E65" s="15"/>
      <c r="F65" s="15"/>
      <c r="G65" s="15"/>
      <c r="H65" s="30" t="s">
        <v>63</v>
      </c>
      <c r="I65" s="33">
        <f>1.19/3</f>
        <v>0.3966666667</v>
      </c>
      <c r="J65" s="32">
        <v>0.4</v>
      </c>
      <c r="K65" s="11"/>
    </row>
    <row r="66">
      <c r="A66" s="11"/>
      <c r="B66" s="11"/>
      <c r="C66" s="11"/>
      <c r="D66" s="11"/>
      <c r="E66" s="29" t="s">
        <v>64</v>
      </c>
      <c r="F66" s="28">
        <f>(J66*I66)+(I67*J67)</f>
        <v>0.26</v>
      </c>
      <c r="G66" s="28">
        <v>0.55</v>
      </c>
      <c r="H66" s="30" t="s">
        <v>65</v>
      </c>
      <c r="I66" s="33">
        <f>((3+5+5)/3)/10</f>
        <v>0.4333333333</v>
      </c>
      <c r="J66" s="32">
        <v>0.6</v>
      </c>
      <c r="K66" s="11"/>
    </row>
    <row r="67">
      <c r="A67" s="11"/>
      <c r="B67" s="15"/>
      <c r="C67" s="15"/>
      <c r="D67" s="15"/>
      <c r="E67" s="15"/>
      <c r="F67" s="15"/>
      <c r="G67" s="15"/>
      <c r="H67" s="30" t="s">
        <v>66</v>
      </c>
      <c r="I67" s="31"/>
      <c r="J67" s="32">
        <v>0.4</v>
      </c>
      <c r="K67" s="11"/>
    </row>
    <row r="68">
      <c r="A68" s="11"/>
      <c r="B68" s="34" t="s">
        <v>67</v>
      </c>
      <c r="C68" s="35">
        <f>(F68*G68)+(F72*G72)</f>
        <v>0.70704375</v>
      </c>
      <c r="D68" s="35">
        <v>0.2</v>
      </c>
      <c r="E68" s="36" t="s">
        <v>68</v>
      </c>
      <c r="F68" s="35">
        <f>(J68*I68)+(J69*I69)+(J70*I70)+(J71*I71)</f>
        <v>0.544875</v>
      </c>
      <c r="G68" s="35">
        <v>0.55</v>
      </c>
      <c r="H68" s="37" t="s">
        <v>69</v>
      </c>
      <c r="I68" s="38">
        <v>0.0</v>
      </c>
      <c r="J68" s="39">
        <v>0.35</v>
      </c>
      <c r="K68" s="11"/>
    </row>
    <row r="69">
      <c r="A69" s="11"/>
      <c r="B69" s="11"/>
      <c r="C69" s="11"/>
      <c r="D69" s="11"/>
      <c r="E69" s="11"/>
      <c r="F69" s="11"/>
      <c r="G69" s="11"/>
      <c r="H69" s="37" t="s">
        <v>84</v>
      </c>
      <c r="I69" s="40">
        <f>3.18/4</f>
        <v>0.795</v>
      </c>
      <c r="J69" s="39">
        <v>0.35</v>
      </c>
      <c r="K69" s="11"/>
    </row>
    <row r="70">
      <c r="A70" s="11"/>
      <c r="B70" s="11"/>
      <c r="C70" s="11"/>
      <c r="D70" s="11"/>
      <c r="E70" s="11"/>
      <c r="F70" s="11"/>
      <c r="G70" s="11"/>
      <c r="H70" s="37" t="s">
        <v>71</v>
      </c>
      <c r="I70" s="40">
        <f>3.11/4</f>
        <v>0.7775</v>
      </c>
      <c r="J70" s="39">
        <v>0.15</v>
      </c>
      <c r="K70" s="11"/>
    </row>
    <row r="71">
      <c r="A71" s="11"/>
      <c r="B71" s="11"/>
      <c r="C71" s="11"/>
      <c r="D71" s="11"/>
      <c r="E71" s="15"/>
      <c r="F71" s="15"/>
      <c r="G71" s="15"/>
      <c r="H71" s="37" t="s">
        <v>72</v>
      </c>
      <c r="I71" s="38">
        <v>1.0</v>
      </c>
      <c r="J71" s="39">
        <v>0.15</v>
      </c>
      <c r="K71" s="11"/>
    </row>
    <row r="72">
      <c r="A72" s="11"/>
      <c r="B72" s="11"/>
      <c r="C72" s="11"/>
      <c r="D72" s="11"/>
      <c r="E72" s="34" t="s">
        <v>73</v>
      </c>
      <c r="F72" s="35">
        <f>(J72*I72)+(I73*J73)+(I74*J74)</f>
        <v>0.90525</v>
      </c>
      <c r="G72" s="35">
        <v>0.45</v>
      </c>
      <c r="H72" s="37" t="s">
        <v>85</v>
      </c>
      <c r="I72" s="40">
        <f>3.46/4</f>
        <v>0.865</v>
      </c>
      <c r="J72" s="39">
        <v>0.3</v>
      </c>
      <c r="K72" s="11"/>
    </row>
    <row r="73">
      <c r="A73" s="11"/>
      <c r="B73" s="11"/>
      <c r="C73" s="11"/>
      <c r="D73" s="11"/>
      <c r="E73" s="11"/>
      <c r="F73" s="11"/>
      <c r="G73" s="11"/>
      <c r="H73" s="37" t="s">
        <v>86</v>
      </c>
      <c r="I73" s="40">
        <f t="shared" ref="I73:I74" si="1">3.69/4</f>
        <v>0.9225</v>
      </c>
      <c r="J73" s="39">
        <v>0.3</v>
      </c>
      <c r="K73" s="11"/>
    </row>
    <row r="74">
      <c r="A74" s="11"/>
      <c r="B74" s="15"/>
      <c r="C74" s="15"/>
      <c r="D74" s="15"/>
      <c r="E74" s="15"/>
      <c r="F74" s="15"/>
      <c r="G74" s="15"/>
      <c r="H74" s="37" t="s">
        <v>87</v>
      </c>
      <c r="I74" s="40">
        <f t="shared" si="1"/>
        <v>0.9225</v>
      </c>
      <c r="J74" s="39">
        <v>0.4</v>
      </c>
      <c r="K74" s="11"/>
    </row>
    <row r="75">
      <c r="A75" s="11"/>
      <c r="B75" s="41" t="s">
        <v>77</v>
      </c>
      <c r="C75" s="42">
        <f>(F75*G75)+(F77*G77)</f>
        <v>0.4584</v>
      </c>
      <c r="D75" s="42">
        <v>0.1</v>
      </c>
      <c r="E75" s="41" t="s">
        <v>78</v>
      </c>
      <c r="F75" s="42">
        <f>(J75*I75)+(I76*J76)</f>
        <v>0.5</v>
      </c>
      <c r="G75" s="42">
        <v>0.6</v>
      </c>
      <c r="H75" s="43" t="s">
        <v>79</v>
      </c>
      <c r="I75" s="44">
        <v>1.0</v>
      </c>
      <c r="J75" s="45">
        <v>0.5</v>
      </c>
      <c r="K75" s="11"/>
    </row>
    <row r="76">
      <c r="A76" s="11"/>
      <c r="B76" s="11"/>
      <c r="C76" s="11"/>
      <c r="D76" s="11"/>
      <c r="E76" s="15"/>
      <c r="F76" s="15"/>
      <c r="G76" s="15"/>
      <c r="H76" s="43" t="s">
        <v>80</v>
      </c>
      <c r="I76" s="44">
        <v>0.0</v>
      </c>
      <c r="J76" s="45">
        <v>0.5</v>
      </c>
      <c r="K76" s="11"/>
    </row>
    <row r="77">
      <c r="A77" s="11"/>
      <c r="B77" s="11"/>
      <c r="C77" s="11"/>
      <c r="D77" s="11"/>
      <c r="E77" s="41" t="s">
        <v>81</v>
      </c>
      <c r="F77" s="42">
        <f>(J77*I77)+(I78*J78)</f>
        <v>0.396</v>
      </c>
      <c r="G77" s="42">
        <v>0.4</v>
      </c>
      <c r="H77" s="43" t="s">
        <v>82</v>
      </c>
      <c r="I77" s="44">
        <v>0.5</v>
      </c>
      <c r="J77" s="46">
        <v>0.6</v>
      </c>
      <c r="K77" s="11"/>
    </row>
    <row r="78">
      <c r="A78" s="15"/>
      <c r="B78" s="15"/>
      <c r="C78" s="15"/>
      <c r="D78" s="15"/>
      <c r="E78" s="15"/>
      <c r="F78" s="15"/>
      <c r="G78" s="15"/>
      <c r="H78" s="43" t="s">
        <v>83</v>
      </c>
      <c r="I78" s="44">
        <v>0.24</v>
      </c>
      <c r="J78" s="46">
        <v>0.4</v>
      </c>
      <c r="K78" s="15"/>
    </row>
    <row r="81">
      <c r="A81" s="2" t="s">
        <v>0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3" t="s">
        <v>7</v>
      </c>
      <c r="I81" s="2" t="s">
        <v>8</v>
      </c>
      <c r="J81" s="2" t="s">
        <v>9</v>
      </c>
      <c r="K81" s="2" t="s">
        <v>10</v>
      </c>
    </row>
    <row r="82">
      <c r="A82" s="4" t="s">
        <v>23</v>
      </c>
      <c r="B82" s="5" t="s">
        <v>12</v>
      </c>
      <c r="C82" s="6">
        <f>(G82*F82)+(G86*F86)+(G88*F88)+(G91*F91)</f>
        <v>0.5567175</v>
      </c>
      <c r="D82" s="6">
        <v>0.3</v>
      </c>
      <c r="E82" s="5" t="s">
        <v>13</v>
      </c>
      <c r="F82" s="6">
        <f>(J82*I82)+(J83*I83)+(J84*I84)+(J85*I85)</f>
        <v>0.80095</v>
      </c>
      <c r="G82" s="6">
        <v>0.3</v>
      </c>
      <c r="H82" s="7" t="s">
        <v>14</v>
      </c>
      <c r="I82" s="8">
        <v>0.82</v>
      </c>
      <c r="J82" s="9">
        <v>0.15</v>
      </c>
      <c r="K82" s="10">
        <f>(C82*D82)+(C93*D93)+(C104*D104)+(C108*D108)+(C115*D115)</f>
        <v>0.53565525</v>
      </c>
    </row>
    <row r="83">
      <c r="A83" s="11"/>
      <c r="B83" s="11"/>
      <c r="C83" s="11"/>
      <c r="D83" s="11"/>
      <c r="E83" s="11"/>
      <c r="F83" s="11"/>
      <c r="G83" s="11"/>
      <c r="H83" s="7" t="s">
        <v>15</v>
      </c>
      <c r="I83" s="8">
        <v>0.8</v>
      </c>
      <c r="J83" s="9">
        <v>0.5</v>
      </c>
      <c r="K83" s="11"/>
    </row>
    <row r="84">
      <c r="A84" s="11"/>
      <c r="B84" s="11"/>
      <c r="C84" s="11"/>
      <c r="D84" s="11"/>
      <c r="E84" s="11"/>
      <c r="F84" s="11"/>
      <c r="G84" s="11"/>
      <c r="H84" s="7" t="s">
        <v>18</v>
      </c>
      <c r="I84" s="13">
        <f>8.53/10</f>
        <v>0.853</v>
      </c>
      <c r="J84" s="9">
        <v>0.15</v>
      </c>
      <c r="K84" s="11"/>
    </row>
    <row r="85">
      <c r="A85" s="11"/>
      <c r="B85" s="11"/>
      <c r="C85" s="11"/>
      <c r="D85" s="11"/>
      <c r="E85" s="15"/>
      <c r="F85" s="15"/>
      <c r="G85" s="15"/>
      <c r="H85" s="7" t="s">
        <v>19</v>
      </c>
      <c r="I85" s="8">
        <v>0.75</v>
      </c>
      <c r="J85" s="9">
        <v>0.2</v>
      </c>
      <c r="K85" s="11"/>
    </row>
    <row r="86">
      <c r="A86" s="11"/>
      <c r="B86" s="11"/>
      <c r="C86" s="11"/>
      <c r="D86" s="11"/>
      <c r="E86" s="5" t="s">
        <v>21</v>
      </c>
      <c r="F86" s="6">
        <f>(J86*I86)+(I87*J87)</f>
        <v>0.21075</v>
      </c>
      <c r="G86" s="6">
        <v>0.25</v>
      </c>
      <c r="H86" s="7" t="s">
        <v>22</v>
      </c>
      <c r="I86" s="8"/>
      <c r="J86" s="9">
        <v>0.7</v>
      </c>
      <c r="K86" s="11"/>
    </row>
    <row r="87">
      <c r="A87" s="11"/>
      <c r="B87" s="11"/>
      <c r="C87" s="11"/>
      <c r="D87" s="11"/>
      <c r="E87" s="15"/>
      <c r="F87" s="15"/>
      <c r="G87" s="15"/>
      <c r="H87" s="7" t="s">
        <v>24</v>
      </c>
      <c r="I87" s="13">
        <f>2.81/4</f>
        <v>0.7025</v>
      </c>
      <c r="J87" s="9">
        <v>0.3</v>
      </c>
      <c r="K87" s="11"/>
    </row>
    <row r="88">
      <c r="A88" s="11"/>
      <c r="B88" s="11"/>
      <c r="C88" s="11"/>
      <c r="D88" s="11"/>
      <c r="E88" s="5" t="s">
        <v>26</v>
      </c>
      <c r="F88" s="6">
        <f>(J88*I88)+(I89*J89)+(I90*J90)</f>
        <v>0.72465</v>
      </c>
      <c r="G88" s="6">
        <v>0.3</v>
      </c>
      <c r="H88" s="7" t="s">
        <v>27</v>
      </c>
      <c r="I88" s="13">
        <f>66.9/100</f>
        <v>0.669</v>
      </c>
      <c r="J88" s="9">
        <v>0.35</v>
      </c>
      <c r="K88" s="11"/>
    </row>
    <row r="89">
      <c r="A89" s="11"/>
      <c r="B89" s="11"/>
      <c r="C89" s="11"/>
      <c r="D89" s="11"/>
      <c r="E89" s="11"/>
      <c r="F89" s="11"/>
      <c r="G89" s="11"/>
      <c r="H89" s="7" t="s">
        <v>29</v>
      </c>
      <c r="I89" s="8">
        <f>62/100</f>
        <v>0.62</v>
      </c>
      <c r="J89" s="9">
        <v>0.3</v>
      </c>
      <c r="K89" s="11"/>
    </row>
    <row r="90">
      <c r="A90" s="11"/>
      <c r="B90" s="11"/>
      <c r="C90" s="11"/>
      <c r="D90" s="11"/>
      <c r="E90" s="15"/>
      <c r="F90" s="15"/>
      <c r="G90" s="15"/>
      <c r="H90" s="7" t="s">
        <v>31</v>
      </c>
      <c r="I90" s="8">
        <v>0.87</v>
      </c>
      <c r="J90" s="9">
        <v>0.35</v>
      </c>
      <c r="K90" s="11"/>
    </row>
    <row r="91">
      <c r="A91" s="11"/>
      <c r="B91" s="11"/>
      <c r="C91" s="11"/>
      <c r="D91" s="11"/>
      <c r="E91" s="5" t="s">
        <v>33</v>
      </c>
      <c r="F91" s="6">
        <f>(J91*I91)+(I92*J92)</f>
        <v>0.309</v>
      </c>
      <c r="G91" s="6">
        <v>0.15</v>
      </c>
      <c r="H91" s="7" t="s">
        <v>34</v>
      </c>
      <c r="I91" s="8"/>
      <c r="J91" s="9">
        <v>0.6</v>
      </c>
      <c r="K91" s="11"/>
    </row>
    <row r="92">
      <c r="A92" s="11"/>
      <c r="B92" s="15"/>
      <c r="C92" s="15"/>
      <c r="D92" s="15"/>
      <c r="E92" s="15"/>
      <c r="F92" s="15"/>
      <c r="G92" s="15"/>
      <c r="H92" s="7" t="s">
        <v>36</v>
      </c>
      <c r="I92" s="13">
        <f>3.09/4</f>
        <v>0.7725</v>
      </c>
      <c r="J92" s="9">
        <v>0.4</v>
      </c>
      <c r="K92" s="11"/>
    </row>
    <row r="93">
      <c r="A93" s="11"/>
      <c r="B93" s="16" t="s">
        <v>38</v>
      </c>
      <c r="C93" s="17">
        <f>(G93*F93)+(F97*G97)+(F101*G101)</f>
        <v>0.5587</v>
      </c>
      <c r="D93" s="17">
        <v>0.2</v>
      </c>
      <c r="E93" s="18" t="s">
        <v>39</v>
      </c>
      <c r="F93" s="17">
        <f>(J93*I93)+(J94*I94)+(J95*I95)+(J96*I96)</f>
        <v>0.27325</v>
      </c>
      <c r="G93" s="17">
        <v>0.35</v>
      </c>
      <c r="H93" s="19" t="s">
        <v>40</v>
      </c>
      <c r="I93" s="20"/>
      <c r="J93" s="21">
        <v>0.3</v>
      </c>
      <c r="K93" s="11"/>
    </row>
    <row r="94">
      <c r="A94" s="11"/>
      <c r="B94" s="11"/>
      <c r="C94" s="11"/>
      <c r="D94" s="11"/>
      <c r="E94" s="11"/>
      <c r="F94" s="11"/>
      <c r="G94" s="11"/>
      <c r="H94" s="19" t="s">
        <v>42</v>
      </c>
      <c r="I94" s="23">
        <f>1.91/4</f>
        <v>0.4775</v>
      </c>
      <c r="J94" s="21">
        <v>0.2</v>
      </c>
      <c r="K94" s="11"/>
    </row>
    <row r="95">
      <c r="A95" s="11"/>
      <c r="B95" s="11"/>
      <c r="C95" s="11"/>
      <c r="D95" s="11"/>
      <c r="E95" s="11"/>
      <c r="F95" s="11"/>
      <c r="G95" s="11"/>
      <c r="H95" s="19" t="s">
        <v>44</v>
      </c>
      <c r="I95" s="23">
        <f>2.07/4</f>
        <v>0.5175</v>
      </c>
      <c r="J95" s="21">
        <v>0.2</v>
      </c>
      <c r="K95" s="11"/>
    </row>
    <row r="96">
      <c r="A96" s="11"/>
      <c r="B96" s="11"/>
      <c r="C96" s="11"/>
      <c r="D96" s="11"/>
      <c r="E96" s="15"/>
      <c r="F96" s="15"/>
      <c r="G96" s="15"/>
      <c r="H96" s="19" t="s">
        <v>46</v>
      </c>
      <c r="I96" s="23">
        <f>0.99/4</f>
        <v>0.2475</v>
      </c>
      <c r="J96" s="21">
        <v>0.3</v>
      </c>
      <c r="K96" s="11"/>
    </row>
    <row r="97">
      <c r="A97" s="11"/>
      <c r="B97" s="11"/>
      <c r="C97" s="11"/>
      <c r="D97" s="11"/>
      <c r="E97" s="18" t="s">
        <v>48</v>
      </c>
      <c r="F97" s="17">
        <f>(J97*I97)+(J98*I98)+(J99*I99)</f>
        <v>0.765</v>
      </c>
      <c r="G97" s="17">
        <v>0.4</v>
      </c>
      <c r="H97" s="19" t="s">
        <v>49</v>
      </c>
      <c r="I97" s="20">
        <v>0.668</v>
      </c>
      <c r="J97" s="21">
        <v>0.5</v>
      </c>
      <c r="K97" s="11"/>
    </row>
    <row r="98">
      <c r="A98" s="11"/>
      <c r="B98" s="11"/>
      <c r="C98" s="11"/>
      <c r="D98" s="11"/>
      <c r="E98" s="11"/>
      <c r="F98" s="11"/>
      <c r="G98" s="11"/>
      <c r="H98" s="19" t="s">
        <v>51</v>
      </c>
      <c r="I98" s="20">
        <v>0.89</v>
      </c>
      <c r="J98" s="21">
        <v>0.3</v>
      </c>
      <c r="K98" s="11"/>
    </row>
    <row r="99">
      <c r="A99" s="11"/>
      <c r="B99" s="11"/>
      <c r="C99" s="11"/>
      <c r="D99" s="11"/>
      <c r="E99" s="11"/>
      <c r="F99" s="11"/>
      <c r="G99" s="11"/>
      <c r="H99" s="25" t="s">
        <v>53</v>
      </c>
      <c r="I99" s="47">
        <f>3.28/4</f>
        <v>0.82</v>
      </c>
      <c r="J99" s="17">
        <v>0.2</v>
      </c>
      <c r="K99" s="11"/>
    </row>
    <row r="100">
      <c r="A100" s="11"/>
      <c r="B100" s="11"/>
      <c r="C100" s="11"/>
      <c r="D100" s="11"/>
      <c r="E100" s="15"/>
      <c r="F100" s="15"/>
      <c r="G100" s="15"/>
      <c r="H100" s="15"/>
      <c r="I100" s="15"/>
      <c r="J100" s="15"/>
      <c r="K100" s="11"/>
    </row>
    <row r="101">
      <c r="A101" s="11"/>
      <c r="B101" s="11"/>
      <c r="C101" s="11"/>
      <c r="D101" s="11"/>
      <c r="E101" s="18" t="s">
        <v>56</v>
      </c>
      <c r="F101" s="17">
        <f>(J101*I101)+(I102*J102)+(I103*J103)</f>
        <v>0.62825</v>
      </c>
      <c r="G101" s="17">
        <v>0.25</v>
      </c>
      <c r="H101" s="19" t="s">
        <v>88</v>
      </c>
      <c r="I101" s="23">
        <f>(100-42.4)/100</f>
        <v>0.576</v>
      </c>
      <c r="J101" s="21">
        <v>0.25</v>
      </c>
      <c r="K101" s="11"/>
    </row>
    <row r="102">
      <c r="A102" s="11"/>
      <c r="B102" s="11"/>
      <c r="C102" s="11"/>
      <c r="D102" s="11"/>
      <c r="E102" s="11"/>
      <c r="F102" s="11"/>
      <c r="G102" s="11"/>
      <c r="H102" s="19" t="s">
        <v>58</v>
      </c>
      <c r="I102" s="23">
        <f>2.37/4</f>
        <v>0.5925</v>
      </c>
      <c r="J102" s="21">
        <v>0.5</v>
      </c>
      <c r="K102" s="11"/>
    </row>
    <row r="103">
      <c r="A103" s="11"/>
      <c r="B103" s="15"/>
      <c r="C103" s="15"/>
      <c r="D103" s="15"/>
      <c r="E103" s="15"/>
      <c r="F103" s="15"/>
      <c r="G103" s="15"/>
      <c r="H103" s="19" t="s">
        <v>89</v>
      </c>
      <c r="I103" s="23">
        <f>(100-24.8)/100</f>
        <v>0.752</v>
      </c>
      <c r="J103" s="21">
        <v>0.25</v>
      </c>
      <c r="K103" s="11"/>
    </row>
    <row r="104">
      <c r="A104" s="11"/>
      <c r="B104" s="27" t="s">
        <v>60</v>
      </c>
      <c r="C104" s="28">
        <f>(G104*F104)+(F106*G106)</f>
        <v>0.3363</v>
      </c>
      <c r="D104" s="28">
        <v>0.2</v>
      </c>
      <c r="E104" s="29" t="s">
        <v>61</v>
      </c>
      <c r="F104" s="28">
        <f>(J104*I104)+(I105*J105)</f>
        <v>0.7473333333</v>
      </c>
      <c r="G104" s="28">
        <v>0.45</v>
      </c>
      <c r="H104" s="30" t="s">
        <v>62</v>
      </c>
      <c r="I104" s="31">
        <v>0.69</v>
      </c>
      <c r="J104" s="32">
        <v>0.6</v>
      </c>
      <c r="K104" s="11"/>
    </row>
    <row r="105">
      <c r="A105" s="11"/>
      <c r="B105" s="11"/>
      <c r="C105" s="11"/>
      <c r="D105" s="11"/>
      <c r="E105" s="15"/>
      <c r="F105" s="15"/>
      <c r="G105" s="15"/>
      <c r="H105" s="30" t="s">
        <v>63</v>
      </c>
      <c r="I105" s="33">
        <f>2.5/3</f>
        <v>0.8333333333</v>
      </c>
      <c r="J105" s="32">
        <v>0.4</v>
      </c>
      <c r="K105" s="11"/>
    </row>
    <row r="106">
      <c r="A106" s="11"/>
      <c r="B106" s="11"/>
      <c r="C106" s="11"/>
      <c r="D106" s="11"/>
      <c r="E106" s="29" t="s">
        <v>64</v>
      </c>
      <c r="F106" s="28">
        <f>(J106*I106)+(I107*J107)</f>
        <v>0</v>
      </c>
      <c r="G106" s="28">
        <v>0.55</v>
      </c>
      <c r="H106" s="30" t="s">
        <v>90</v>
      </c>
      <c r="I106" s="31"/>
      <c r="J106" s="32">
        <v>0.6</v>
      </c>
      <c r="K106" s="11"/>
    </row>
    <row r="107">
      <c r="A107" s="11"/>
      <c r="B107" s="15"/>
      <c r="C107" s="15"/>
      <c r="D107" s="15"/>
      <c r="E107" s="15"/>
      <c r="F107" s="15"/>
      <c r="G107" s="15"/>
      <c r="H107" s="30" t="s">
        <v>66</v>
      </c>
      <c r="I107" s="31"/>
      <c r="J107" s="32">
        <v>0.4</v>
      </c>
      <c r="K107" s="11"/>
    </row>
    <row r="108">
      <c r="A108" s="11"/>
      <c r="B108" s="34" t="s">
        <v>67</v>
      </c>
      <c r="C108" s="35">
        <f>(F108*G108)+(F112*G112)</f>
        <v>0.9466</v>
      </c>
      <c r="D108" s="35">
        <v>0.2</v>
      </c>
      <c r="E108" s="36" t="s">
        <v>68</v>
      </c>
      <c r="F108" s="35">
        <f>(J108*I108)+(J109*I109)+(J110*I110)+(J111*I111)</f>
        <v>0.91825</v>
      </c>
      <c r="G108" s="35">
        <v>0.55</v>
      </c>
      <c r="H108" s="37" t="s">
        <v>69</v>
      </c>
      <c r="I108" s="38">
        <v>0.84</v>
      </c>
      <c r="J108" s="39">
        <v>0.35</v>
      </c>
      <c r="K108" s="11"/>
    </row>
    <row r="109">
      <c r="A109" s="11"/>
      <c r="B109" s="11"/>
      <c r="C109" s="11"/>
      <c r="D109" s="11"/>
      <c r="E109" s="11"/>
      <c r="F109" s="11"/>
      <c r="G109" s="11"/>
      <c r="H109" s="37" t="s">
        <v>70</v>
      </c>
      <c r="I109" s="40">
        <f>3.77/4</f>
        <v>0.9425</v>
      </c>
      <c r="J109" s="39">
        <v>0.35</v>
      </c>
      <c r="K109" s="11"/>
    </row>
    <row r="110">
      <c r="A110" s="11"/>
      <c r="B110" s="11"/>
      <c r="C110" s="11"/>
      <c r="D110" s="11"/>
      <c r="E110" s="11"/>
      <c r="F110" s="11"/>
      <c r="G110" s="11"/>
      <c r="H110" s="37" t="s">
        <v>71</v>
      </c>
      <c r="I110" s="40">
        <f>3.85/4</f>
        <v>0.9625</v>
      </c>
      <c r="J110" s="39">
        <v>0.15</v>
      </c>
      <c r="K110" s="11"/>
    </row>
    <row r="111">
      <c r="A111" s="11"/>
      <c r="B111" s="11"/>
      <c r="C111" s="11"/>
      <c r="D111" s="11"/>
      <c r="E111" s="15"/>
      <c r="F111" s="15"/>
      <c r="G111" s="15"/>
      <c r="H111" s="37" t="s">
        <v>72</v>
      </c>
      <c r="I111" s="38">
        <v>1.0</v>
      </c>
      <c r="J111" s="39">
        <v>0.15</v>
      </c>
      <c r="K111" s="11"/>
    </row>
    <row r="112">
      <c r="A112" s="11"/>
      <c r="B112" s="11"/>
      <c r="C112" s="11"/>
      <c r="D112" s="11"/>
      <c r="E112" s="34" t="s">
        <v>73</v>
      </c>
      <c r="F112" s="35">
        <f>(J112*I112)+(I113*J113)+(I114*J114)</f>
        <v>0.98125</v>
      </c>
      <c r="G112" s="35">
        <v>0.45</v>
      </c>
      <c r="H112" s="37" t="s">
        <v>74</v>
      </c>
      <c r="I112" s="40">
        <f>3.89/4</f>
        <v>0.9725</v>
      </c>
      <c r="J112" s="39">
        <v>0.3</v>
      </c>
      <c r="K112" s="11"/>
    </row>
    <row r="113">
      <c r="A113" s="11"/>
      <c r="B113" s="11"/>
      <c r="C113" s="11"/>
      <c r="D113" s="11"/>
      <c r="E113" s="11"/>
      <c r="F113" s="11"/>
      <c r="G113" s="11"/>
      <c r="H113" s="37" t="s">
        <v>75</v>
      </c>
      <c r="I113" s="40">
        <f t="shared" ref="I113:I114" si="2">3.94/4</f>
        <v>0.985</v>
      </c>
      <c r="J113" s="39">
        <v>0.3</v>
      </c>
      <c r="K113" s="11"/>
    </row>
    <row r="114">
      <c r="A114" s="11"/>
      <c r="B114" s="15"/>
      <c r="C114" s="15"/>
      <c r="D114" s="15"/>
      <c r="E114" s="15"/>
      <c r="F114" s="15"/>
      <c r="G114" s="15"/>
      <c r="H114" s="37" t="s">
        <v>76</v>
      </c>
      <c r="I114" s="40">
        <f t="shared" si="2"/>
        <v>0.985</v>
      </c>
      <c r="J114" s="39">
        <v>0.4</v>
      </c>
      <c r="K114" s="11"/>
    </row>
    <row r="115">
      <c r="A115" s="11"/>
      <c r="B115" s="41" t="s">
        <v>77</v>
      </c>
      <c r="C115" s="42">
        <f>(F115*G115)+(F117*G117)</f>
        <v>0.0032</v>
      </c>
      <c r="D115" s="42">
        <v>0.1</v>
      </c>
      <c r="E115" s="41" t="s">
        <v>78</v>
      </c>
      <c r="F115" s="42">
        <f>(J115*I115)+(I116*J116)</f>
        <v>0</v>
      </c>
      <c r="G115" s="42">
        <v>0.6</v>
      </c>
      <c r="H115" s="43" t="s">
        <v>79</v>
      </c>
      <c r="I115" s="44">
        <v>0.0</v>
      </c>
      <c r="J115" s="45">
        <v>0.5</v>
      </c>
      <c r="K115" s="11"/>
    </row>
    <row r="116">
      <c r="A116" s="11"/>
      <c r="B116" s="11"/>
      <c r="C116" s="11"/>
      <c r="D116" s="11"/>
      <c r="E116" s="15"/>
      <c r="F116" s="15"/>
      <c r="G116" s="15"/>
      <c r="H116" s="43" t="s">
        <v>80</v>
      </c>
      <c r="I116" s="44">
        <v>0.0</v>
      </c>
      <c r="J116" s="45">
        <v>0.5</v>
      </c>
      <c r="K116" s="11"/>
    </row>
    <row r="117">
      <c r="A117" s="11"/>
      <c r="B117" s="11"/>
      <c r="C117" s="11"/>
      <c r="D117" s="11"/>
      <c r="E117" s="41" t="s">
        <v>81</v>
      </c>
      <c r="F117" s="42">
        <f>(J117*I117)+(I118*J118)</f>
        <v>0.008</v>
      </c>
      <c r="G117" s="42">
        <v>0.4</v>
      </c>
      <c r="H117" s="43" t="s">
        <v>82</v>
      </c>
      <c r="I117" s="44">
        <v>0.0</v>
      </c>
      <c r="J117" s="46">
        <v>0.6</v>
      </c>
      <c r="K117" s="11"/>
    </row>
    <row r="118">
      <c r="A118" s="15"/>
      <c r="B118" s="15"/>
      <c r="C118" s="15"/>
      <c r="D118" s="15"/>
      <c r="E118" s="15"/>
      <c r="F118" s="15"/>
      <c r="G118" s="15"/>
      <c r="H118" s="43" t="s">
        <v>83</v>
      </c>
      <c r="I118" s="44">
        <v>0.02</v>
      </c>
      <c r="J118" s="46">
        <v>0.4</v>
      </c>
      <c r="K118" s="15"/>
    </row>
    <row r="121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3" t="s">
        <v>7</v>
      </c>
      <c r="I121" s="2" t="s">
        <v>8</v>
      </c>
      <c r="J121" s="2" t="s">
        <v>9</v>
      </c>
      <c r="K121" s="2" t="s">
        <v>10</v>
      </c>
    </row>
    <row r="122">
      <c r="A122" s="4" t="s">
        <v>91</v>
      </c>
      <c r="B122" s="5" t="s">
        <v>12</v>
      </c>
      <c r="C122" s="6">
        <f>(G122*F122)+(G126*F126)+(G128*F128)+(G131*F131)</f>
        <v>0.442797</v>
      </c>
      <c r="D122" s="6">
        <v>0.3</v>
      </c>
      <c r="E122" s="5" t="s">
        <v>13</v>
      </c>
      <c r="F122" s="6">
        <f>(J122*I122)+(J123*I123)+(J124*I124)+(J125*I125)</f>
        <v>0.4638</v>
      </c>
      <c r="G122" s="6">
        <v>0.3</v>
      </c>
      <c r="H122" s="7" t="s">
        <v>14</v>
      </c>
      <c r="I122" s="8">
        <v>0.67</v>
      </c>
      <c r="J122" s="9">
        <v>0.15</v>
      </c>
      <c r="K122" s="10">
        <f>(C122*D122)+(C133*D133)+(C144*D144)+(C148*D148)+(C155*D155)</f>
        <v>0.4622741</v>
      </c>
    </row>
    <row r="123">
      <c r="A123" s="11"/>
      <c r="B123" s="11"/>
      <c r="C123" s="11"/>
      <c r="D123" s="11"/>
      <c r="E123" s="11"/>
      <c r="F123" s="11"/>
      <c r="G123" s="11"/>
      <c r="H123" s="7" t="s">
        <v>15</v>
      </c>
      <c r="I123" s="8">
        <v>0.4</v>
      </c>
      <c r="J123" s="9">
        <v>0.5</v>
      </c>
      <c r="K123" s="11"/>
    </row>
    <row r="124">
      <c r="A124" s="11"/>
      <c r="B124" s="11"/>
      <c r="C124" s="11"/>
      <c r="D124" s="11"/>
      <c r="E124" s="11"/>
      <c r="F124" s="11"/>
      <c r="G124" s="11"/>
      <c r="H124" s="7" t="s">
        <v>18</v>
      </c>
      <c r="I124" s="13">
        <f>3.82/10</f>
        <v>0.382</v>
      </c>
      <c r="J124" s="9">
        <v>0.15</v>
      </c>
      <c r="K124" s="11"/>
    </row>
    <row r="125">
      <c r="A125" s="11"/>
      <c r="B125" s="11"/>
      <c r="C125" s="11"/>
      <c r="D125" s="11"/>
      <c r="E125" s="15"/>
      <c r="F125" s="15"/>
      <c r="G125" s="15"/>
      <c r="H125" s="7" t="s">
        <v>19</v>
      </c>
      <c r="I125" s="8">
        <v>0.53</v>
      </c>
      <c r="J125" s="9">
        <v>0.2</v>
      </c>
      <c r="K125" s="11"/>
    </row>
    <row r="126">
      <c r="A126" s="11"/>
      <c r="B126" s="11"/>
      <c r="C126" s="11"/>
      <c r="D126" s="11"/>
      <c r="E126" s="5" t="s">
        <v>21</v>
      </c>
      <c r="F126" s="6">
        <f>(J126*I126)+(I127*J127)</f>
        <v>0.31425</v>
      </c>
      <c r="G126" s="6">
        <v>0.25</v>
      </c>
      <c r="H126" s="7" t="s">
        <v>22</v>
      </c>
      <c r="I126" s="8">
        <f>3/10</f>
        <v>0.3</v>
      </c>
      <c r="J126" s="9">
        <v>0.7</v>
      </c>
      <c r="K126" s="11"/>
    </row>
    <row r="127">
      <c r="A127" s="11"/>
      <c r="B127" s="11"/>
      <c r="C127" s="11"/>
      <c r="D127" s="11"/>
      <c r="E127" s="15"/>
      <c r="F127" s="15"/>
      <c r="G127" s="15"/>
      <c r="H127" s="7" t="s">
        <v>24</v>
      </c>
      <c r="I127" s="13">
        <f>1.39/4</f>
        <v>0.3475</v>
      </c>
      <c r="J127" s="9">
        <v>0.3</v>
      </c>
      <c r="K127" s="11"/>
    </row>
    <row r="128">
      <c r="A128" s="11"/>
      <c r="B128" s="11"/>
      <c r="C128" s="11"/>
      <c r="D128" s="11"/>
      <c r="E128" s="5" t="s">
        <v>26</v>
      </c>
      <c r="F128" s="6">
        <f>(J128*I128)+(I129*J129)+(I130*J130)</f>
        <v>0.537815</v>
      </c>
      <c r="G128" s="6">
        <v>0.3</v>
      </c>
      <c r="H128" s="7" t="s">
        <v>27</v>
      </c>
      <c r="I128" s="13">
        <f>42.09/100</f>
        <v>0.4209</v>
      </c>
      <c r="J128" s="9">
        <v>0.35</v>
      </c>
      <c r="K128" s="11"/>
    </row>
    <row r="129">
      <c r="A129" s="11"/>
      <c r="B129" s="11"/>
      <c r="C129" s="11"/>
      <c r="D129" s="11"/>
      <c r="E129" s="11"/>
      <c r="F129" s="11"/>
      <c r="G129" s="11"/>
      <c r="H129" s="7" t="s">
        <v>29</v>
      </c>
      <c r="I129" s="8">
        <f>45/100</f>
        <v>0.45</v>
      </c>
      <c r="J129" s="9">
        <v>0.3</v>
      </c>
      <c r="K129" s="11"/>
    </row>
    <row r="130">
      <c r="A130" s="11"/>
      <c r="B130" s="11"/>
      <c r="C130" s="11"/>
      <c r="D130" s="11"/>
      <c r="E130" s="15"/>
      <c r="F130" s="15"/>
      <c r="G130" s="15"/>
      <c r="H130" s="7" t="s">
        <v>31</v>
      </c>
      <c r="I130" s="8">
        <v>0.73</v>
      </c>
      <c r="J130" s="9">
        <v>0.35</v>
      </c>
      <c r="K130" s="11"/>
    </row>
    <row r="131">
      <c r="A131" s="11"/>
      <c r="B131" s="11"/>
      <c r="C131" s="11"/>
      <c r="D131" s="11"/>
      <c r="E131" s="5" t="s">
        <v>33</v>
      </c>
      <c r="F131" s="6">
        <f>(J131*I131)+(I132*J132)</f>
        <v>0.425</v>
      </c>
      <c r="G131" s="6">
        <v>0.15</v>
      </c>
      <c r="H131" s="7" t="s">
        <v>34</v>
      </c>
      <c r="I131" s="8">
        <v>0.35</v>
      </c>
      <c r="J131" s="9">
        <v>0.6</v>
      </c>
      <c r="K131" s="11"/>
    </row>
    <row r="132">
      <c r="A132" s="11"/>
      <c r="B132" s="15"/>
      <c r="C132" s="15"/>
      <c r="D132" s="15"/>
      <c r="E132" s="15"/>
      <c r="F132" s="15"/>
      <c r="G132" s="15"/>
      <c r="H132" s="7" t="s">
        <v>36</v>
      </c>
      <c r="I132" s="13">
        <f>2.15/4</f>
        <v>0.5375</v>
      </c>
      <c r="J132" s="9">
        <v>0.4</v>
      </c>
      <c r="K132" s="11"/>
    </row>
    <row r="133">
      <c r="A133" s="11"/>
      <c r="B133" s="16" t="s">
        <v>38</v>
      </c>
      <c r="C133" s="17">
        <f>(G133*F133)+(F137*G137)+(F141*G141)</f>
        <v>0.4891875</v>
      </c>
      <c r="D133" s="17">
        <v>0.2</v>
      </c>
      <c r="E133" s="18" t="s">
        <v>39</v>
      </c>
      <c r="F133" s="17">
        <f>(J133*I133)+(J134*I134)+(J135*I135)+(J136*I136)</f>
        <v>0.321</v>
      </c>
      <c r="G133" s="17">
        <v>0.35</v>
      </c>
      <c r="H133" s="19" t="s">
        <v>40</v>
      </c>
      <c r="I133" s="20">
        <f>5/10</f>
        <v>0.5</v>
      </c>
      <c r="J133" s="21">
        <v>0.3</v>
      </c>
      <c r="K133" s="11"/>
    </row>
    <row r="134">
      <c r="A134" s="11"/>
      <c r="B134" s="11"/>
      <c r="C134" s="11"/>
      <c r="D134" s="11"/>
      <c r="E134" s="11"/>
      <c r="F134" s="11"/>
      <c r="G134" s="11"/>
      <c r="H134" s="19" t="s">
        <v>42</v>
      </c>
      <c r="I134" s="23">
        <f>0.66/4</f>
        <v>0.165</v>
      </c>
      <c r="J134" s="21">
        <v>0.2</v>
      </c>
      <c r="K134" s="11"/>
    </row>
    <row r="135">
      <c r="A135" s="11"/>
      <c r="B135" s="11"/>
      <c r="C135" s="11"/>
      <c r="D135" s="11"/>
      <c r="E135" s="11"/>
      <c r="F135" s="11"/>
      <c r="G135" s="11"/>
      <c r="H135" s="19" t="s">
        <v>44</v>
      </c>
      <c r="I135" s="23">
        <f>0.93/4</f>
        <v>0.2325</v>
      </c>
      <c r="J135" s="21">
        <v>0.2</v>
      </c>
      <c r="K135" s="11"/>
    </row>
    <row r="136">
      <c r="A136" s="11"/>
      <c r="B136" s="11"/>
      <c r="C136" s="11"/>
      <c r="D136" s="11"/>
      <c r="E136" s="15"/>
      <c r="F136" s="15"/>
      <c r="G136" s="15"/>
      <c r="H136" s="19" t="s">
        <v>46</v>
      </c>
      <c r="I136" s="23">
        <f>1.22/4</f>
        <v>0.305</v>
      </c>
      <c r="J136" s="21">
        <v>0.3</v>
      </c>
      <c r="K136" s="11"/>
    </row>
    <row r="137">
      <c r="A137" s="11"/>
      <c r="B137" s="11"/>
      <c r="C137" s="11"/>
      <c r="D137" s="11"/>
      <c r="E137" s="18" t="s">
        <v>48</v>
      </c>
      <c r="F137" s="17">
        <f>(J137*I137)+(J138*I138)+(J139*I139)</f>
        <v>0.6085</v>
      </c>
      <c r="G137" s="17">
        <v>0.4</v>
      </c>
      <c r="H137" s="19" t="s">
        <v>49</v>
      </c>
      <c r="I137" s="20">
        <v>0.582</v>
      </c>
      <c r="J137" s="21">
        <v>0.5</v>
      </c>
      <c r="K137" s="11"/>
    </row>
    <row r="138">
      <c r="A138" s="11"/>
      <c r="B138" s="11"/>
      <c r="C138" s="11"/>
      <c r="D138" s="11"/>
      <c r="E138" s="11"/>
      <c r="F138" s="11"/>
      <c r="G138" s="11"/>
      <c r="H138" s="19" t="s">
        <v>51</v>
      </c>
      <c r="I138" s="20">
        <v>0.55</v>
      </c>
      <c r="J138" s="21">
        <v>0.3</v>
      </c>
      <c r="K138" s="11"/>
    </row>
    <row r="139">
      <c r="A139" s="11"/>
      <c r="B139" s="11"/>
      <c r="C139" s="11"/>
      <c r="D139" s="11"/>
      <c r="E139" s="11"/>
      <c r="F139" s="11"/>
      <c r="G139" s="11"/>
      <c r="H139" s="25" t="s">
        <v>53</v>
      </c>
      <c r="I139" s="47">
        <f>3.05/4</f>
        <v>0.7625</v>
      </c>
      <c r="J139" s="17">
        <v>0.2</v>
      </c>
      <c r="K139" s="11"/>
    </row>
    <row r="140">
      <c r="A140" s="11"/>
      <c r="B140" s="11"/>
      <c r="C140" s="11"/>
      <c r="D140" s="11"/>
      <c r="E140" s="15"/>
      <c r="F140" s="15"/>
      <c r="G140" s="15"/>
      <c r="H140" s="15"/>
      <c r="I140" s="15"/>
      <c r="J140" s="15"/>
      <c r="K140" s="11"/>
    </row>
    <row r="141">
      <c r="A141" s="11"/>
      <c r="B141" s="11"/>
      <c r="C141" s="11"/>
      <c r="D141" s="11"/>
      <c r="E141" s="18" t="s">
        <v>56</v>
      </c>
      <c r="F141" s="17">
        <f>(J141*I141)+(I142*J142)+(I143*J143)</f>
        <v>0.53375</v>
      </c>
      <c r="G141" s="17">
        <v>0.25</v>
      </c>
      <c r="H141" s="19" t="s">
        <v>57</v>
      </c>
      <c r="I141" s="23">
        <f>(100-35.5)/100</f>
        <v>0.645</v>
      </c>
      <c r="J141" s="21">
        <v>0.25</v>
      </c>
      <c r="K141" s="11"/>
    </row>
    <row r="142">
      <c r="A142" s="11"/>
      <c r="B142" s="11"/>
      <c r="C142" s="11"/>
      <c r="D142" s="11"/>
      <c r="E142" s="11"/>
      <c r="F142" s="11"/>
      <c r="G142" s="11"/>
      <c r="H142" s="19" t="s">
        <v>58</v>
      </c>
      <c r="I142" s="23">
        <f>1.73/4</f>
        <v>0.4325</v>
      </c>
      <c r="J142" s="21">
        <v>0.5</v>
      </c>
      <c r="K142" s="11"/>
    </row>
    <row r="143">
      <c r="A143" s="11"/>
      <c r="B143" s="15"/>
      <c r="C143" s="15"/>
      <c r="D143" s="15"/>
      <c r="E143" s="15"/>
      <c r="F143" s="15"/>
      <c r="G143" s="15"/>
      <c r="H143" s="19" t="s">
        <v>59</v>
      </c>
      <c r="I143" s="23">
        <f>(100-37.5)/100</f>
        <v>0.625</v>
      </c>
      <c r="J143" s="21">
        <v>0.25</v>
      </c>
      <c r="K143" s="11"/>
    </row>
    <row r="144">
      <c r="A144" s="11"/>
      <c r="B144" s="27" t="s">
        <v>60</v>
      </c>
      <c r="C144" s="28">
        <f>(G144*F144)+(F146*G146)</f>
        <v>0.4304</v>
      </c>
      <c r="D144" s="28">
        <v>0.2</v>
      </c>
      <c r="E144" s="29" t="s">
        <v>61</v>
      </c>
      <c r="F144" s="28">
        <f>(J144*I144)+(I145*J145)</f>
        <v>0.492</v>
      </c>
      <c r="G144" s="28">
        <v>0.45</v>
      </c>
      <c r="H144" s="30" t="s">
        <v>62</v>
      </c>
      <c r="I144" s="31">
        <v>0.5</v>
      </c>
      <c r="J144" s="32">
        <v>0.6</v>
      </c>
      <c r="K144" s="11"/>
    </row>
    <row r="145">
      <c r="A145" s="11"/>
      <c r="B145" s="11"/>
      <c r="C145" s="11"/>
      <c r="D145" s="11"/>
      <c r="E145" s="15"/>
      <c r="F145" s="15"/>
      <c r="G145" s="15"/>
      <c r="H145" s="30" t="s">
        <v>63</v>
      </c>
      <c r="I145" s="33">
        <f>1.44/3</f>
        <v>0.48</v>
      </c>
      <c r="J145" s="32">
        <v>0.4</v>
      </c>
      <c r="K145" s="11"/>
    </row>
    <row r="146">
      <c r="A146" s="11"/>
      <c r="B146" s="11"/>
      <c r="C146" s="11"/>
      <c r="D146" s="11"/>
      <c r="E146" s="29" t="s">
        <v>64</v>
      </c>
      <c r="F146" s="28">
        <f>(J146*I146)+(I147*J147)</f>
        <v>0.38</v>
      </c>
      <c r="G146" s="28">
        <v>0.55</v>
      </c>
      <c r="H146" s="30" t="s">
        <v>65</v>
      </c>
      <c r="I146" s="33">
        <f>((6+7+6)/3)/10</f>
        <v>0.6333333333</v>
      </c>
      <c r="J146" s="32">
        <v>0.6</v>
      </c>
      <c r="K146" s="11"/>
    </row>
    <row r="147">
      <c r="A147" s="11"/>
      <c r="B147" s="15"/>
      <c r="C147" s="15"/>
      <c r="D147" s="15"/>
      <c r="E147" s="15"/>
      <c r="F147" s="15"/>
      <c r="G147" s="15"/>
      <c r="H147" s="30" t="s">
        <v>66</v>
      </c>
      <c r="I147" s="31"/>
      <c r="J147" s="32">
        <v>0.4</v>
      </c>
      <c r="K147" s="11"/>
    </row>
    <row r="148">
      <c r="A148" s="11"/>
      <c r="B148" s="34" t="s">
        <v>67</v>
      </c>
      <c r="C148" s="35">
        <f>(F148*G148)+(F152*G152)</f>
        <v>0.5024875</v>
      </c>
      <c r="D148" s="35">
        <v>0.2</v>
      </c>
      <c r="E148" s="36" t="s">
        <v>68</v>
      </c>
      <c r="F148" s="35">
        <f>(J148*I148)+(J149*I149)+(J150*I150)+(J151*I151)</f>
        <v>0.52825</v>
      </c>
      <c r="G148" s="35">
        <v>0.55</v>
      </c>
      <c r="H148" s="37" t="s">
        <v>69</v>
      </c>
      <c r="I148" s="38">
        <v>0.33</v>
      </c>
      <c r="J148" s="39">
        <v>0.35</v>
      </c>
      <c r="K148" s="11"/>
    </row>
    <row r="149">
      <c r="A149" s="11"/>
      <c r="B149" s="11"/>
      <c r="C149" s="11"/>
      <c r="D149" s="11"/>
      <c r="E149" s="11"/>
      <c r="F149" s="11"/>
      <c r="G149" s="11"/>
      <c r="H149" s="37" t="s">
        <v>70</v>
      </c>
      <c r="I149" s="40">
        <f>1.61/4</f>
        <v>0.4025</v>
      </c>
      <c r="J149" s="39">
        <v>0.35</v>
      </c>
      <c r="K149" s="11"/>
    </row>
    <row r="150">
      <c r="A150" s="11"/>
      <c r="B150" s="11"/>
      <c r="C150" s="11"/>
      <c r="D150" s="11"/>
      <c r="E150" s="11"/>
      <c r="F150" s="11"/>
      <c r="G150" s="11"/>
      <c r="H150" s="37" t="s">
        <v>71</v>
      </c>
      <c r="I150" s="40">
        <f>3.25/4</f>
        <v>0.8125</v>
      </c>
      <c r="J150" s="39">
        <v>0.15</v>
      </c>
      <c r="K150" s="11"/>
    </row>
    <row r="151">
      <c r="A151" s="11"/>
      <c r="B151" s="11"/>
      <c r="C151" s="11"/>
      <c r="D151" s="11"/>
      <c r="E151" s="15"/>
      <c r="F151" s="15"/>
      <c r="G151" s="15"/>
      <c r="H151" s="37" t="s">
        <v>72</v>
      </c>
      <c r="I151" s="38">
        <v>1.0</v>
      </c>
      <c r="J151" s="39">
        <v>0.15</v>
      </c>
      <c r="K151" s="11"/>
    </row>
    <row r="152">
      <c r="A152" s="11"/>
      <c r="B152" s="11"/>
      <c r="C152" s="11"/>
      <c r="D152" s="11"/>
      <c r="E152" s="34" t="s">
        <v>73</v>
      </c>
      <c r="F152" s="35">
        <f>(J152*I152)+(I153*J153)+(I154*J154)</f>
        <v>0.471</v>
      </c>
      <c r="G152" s="35">
        <v>0.45</v>
      </c>
      <c r="H152" s="37" t="s">
        <v>74</v>
      </c>
      <c r="I152" s="38">
        <f>1.76/4</f>
        <v>0.44</v>
      </c>
      <c r="J152" s="39">
        <v>0.3</v>
      </c>
      <c r="K152" s="11"/>
    </row>
    <row r="153">
      <c r="A153" s="11"/>
      <c r="B153" s="11"/>
      <c r="C153" s="11"/>
      <c r="D153" s="11"/>
      <c r="E153" s="11"/>
      <c r="F153" s="11"/>
      <c r="G153" s="11"/>
      <c r="H153" s="37" t="s">
        <v>75</v>
      </c>
      <c r="I153" s="40">
        <f>2.48/4</f>
        <v>0.62</v>
      </c>
      <c r="J153" s="39">
        <v>0.3</v>
      </c>
      <c r="K153" s="11"/>
    </row>
    <row r="154">
      <c r="A154" s="11"/>
      <c r="B154" s="15"/>
      <c r="C154" s="15"/>
      <c r="D154" s="15"/>
      <c r="E154" s="15"/>
      <c r="F154" s="15"/>
      <c r="G154" s="15"/>
      <c r="H154" s="37" t="s">
        <v>76</v>
      </c>
      <c r="I154" s="40">
        <f>1.53/4</f>
        <v>0.3825</v>
      </c>
      <c r="J154" s="39">
        <v>0.4</v>
      </c>
      <c r="K154" s="11"/>
    </row>
    <row r="155">
      <c r="A155" s="11"/>
      <c r="B155" s="41" t="s">
        <v>77</v>
      </c>
      <c r="C155" s="42">
        <f>(F155*G155)+(F157*G157)</f>
        <v>0.4502</v>
      </c>
      <c r="D155" s="42">
        <v>0.1</v>
      </c>
      <c r="E155" s="41" t="s">
        <v>78</v>
      </c>
      <c r="F155" s="42">
        <f>(J155*I155)+(I156*J156)</f>
        <v>0.665</v>
      </c>
      <c r="G155" s="42">
        <v>0.6</v>
      </c>
      <c r="H155" s="43" t="s">
        <v>79</v>
      </c>
      <c r="I155" s="44">
        <v>1.0</v>
      </c>
      <c r="J155" s="45">
        <v>0.5</v>
      </c>
      <c r="K155" s="11"/>
    </row>
    <row r="156">
      <c r="A156" s="11"/>
      <c r="B156" s="11"/>
      <c r="C156" s="11"/>
      <c r="D156" s="11"/>
      <c r="E156" s="15"/>
      <c r="F156" s="15"/>
      <c r="G156" s="15"/>
      <c r="H156" s="43" t="s">
        <v>80</v>
      </c>
      <c r="I156" s="44">
        <v>0.33</v>
      </c>
      <c r="J156" s="45">
        <v>0.5</v>
      </c>
      <c r="K156" s="11"/>
    </row>
    <row r="157">
      <c r="A157" s="11"/>
      <c r="B157" s="11"/>
      <c r="C157" s="11"/>
      <c r="D157" s="11"/>
      <c r="E157" s="41" t="s">
        <v>81</v>
      </c>
      <c r="F157" s="42">
        <f>(J157*I157)+(I158*J158)</f>
        <v>0.128</v>
      </c>
      <c r="G157" s="42">
        <v>0.4</v>
      </c>
      <c r="H157" s="43" t="s">
        <v>82</v>
      </c>
      <c r="I157" s="44">
        <v>0.0</v>
      </c>
      <c r="J157" s="46">
        <v>0.6</v>
      </c>
      <c r="K157" s="11"/>
    </row>
    <row r="158">
      <c r="A158" s="15"/>
      <c r="B158" s="15"/>
      <c r="C158" s="15"/>
      <c r="D158" s="15"/>
      <c r="E158" s="15"/>
      <c r="F158" s="15"/>
      <c r="G158" s="15"/>
      <c r="H158" s="43" t="s">
        <v>83</v>
      </c>
      <c r="I158" s="44">
        <v>0.32</v>
      </c>
      <c r="J158" s="46">
        <v>0.4</v>
      </c>
      <c r="K158" s="15"/>
    </row>
    <row r="161">
      <c r="A161" s="2" t="s">
        <v>0</v>
      </c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3" t="s">
        <v>7</v>
      </c>
      <c r="I161" s="2" t="s">
        <v>8</v>
      </c>
      <c r="J161" s="2" t="s">
        <v>9</v>
      </c>
      <c r="K161" s="2" t="s">
        <v>10</v>
      </c>
    </row>
    <row r="162">
      <c r="A162" s="4" t="s">
        <v>92</v>
      </c>
      <c r="B162" s="5" t="s">
        <v>12</v>
      </c>
      <c r="C162" s="6">
        <f>(G162*F162)+(G166*F166)+(G168*F168)+(G171*F171)</f>
        <v>0.662572</v>
      </c>
      <c r="D162" s="6">
        <v>0.3</v>
      </c>
      <c r="E162" s="5" t="s">
        <v>13</v>
      </c>
      <c r="F162" s="6">
        <f>(J162*I162)+(J163*I163)+(J164*I164)+(J165*I165)</f>
        <v>0.7513</v>
      </c>
      <c r="G162" s="6">
        <v>0.3</v>
      </c>
      <c r="H162" s="7" t="s">
        <v>14</v>
      </c>
      <c r="I162" s="8">
        <v>0.77</v>
      </c>
      <c r="J162" s="9">
        <v>0.15</v>
      </c>
      <c r="K162" s="10">
        <f>(C162*D162)+(C173*D173)+(C184*D184)+(C188*D188)+(C195*D195)</f>
        <v>0.6755266</v>
      </c>
    </row>
    <row r="163">
      <c r="A163" s="11"/>
      <c r="B163" s="11"/>
      <c r="C163" s="11"/>
      <c r="D163" s="11"/>
      <c r="E163" s="11"/>
      <c r="F163" s="11"/>
      <c r="G163" s="11"/>
      <c r="H163" s="7" t="s">
        <v>15</v>
      </c>
      <c r="I163" s="8">
        <v>0.8</v>
      </c>
      <c r="J163" s="9">
        <v>0.5</v>
      </c>
      <c r="K163" s="11"/>
    </row>
    <row r="164">
      <c r="A164" s="11"/>
      <c r="B164" s="11"/>
      <c r="C164" s="11"/>
      <c r="D164" s="11"/>
      <c r="E164" s="11"/>
      <c r="F164" s="11"/>
      <c r="G164" s="11"/>
      <c r="H164" s="7" t="s">
        <v>18</v>
      </c>
      <c r="I164" s="13">
        <f>4.12/10</f>
        <v>0.412</v>
      </c>
      <c r="J164" s="9">
        <v>0.15</v>
      </c>
      <c r="K164" s="11"/>
    </row>
    <row r="165">
      <c r="A165" s="11"/>
      <c r="B165" s="11"/>
      <c r="C165" s="11"/>
      <c r="D165" s="11"/>
      <c r="E165" s="15"/>
      <c r="F165" s="15"/>
      <c r="G165" s="15"/>
      <c r="H165" s="7" t="s">
        <v>19</v>
      </c>
      <c r="I165" s="8">
        <v>0.87</v>
      </c>
      <c r="J165" s="9">
        <v>0.2</v>
      </c>
      <c r="K165" s="11"/>
    </row>
    <row r="166">
      <c r="A166" s="11"/>
      <c r="B166" s="11"/>
      <c r="C166" s="11"/>
      <c r="D166" s="11"/>
      <c r="E166" s="5" t="s">
        <v>21</v>
      </c>
      <c r="F166" s="6">
        <f>(J166*I166)+(I167*J167)</f>
        <v>0.74875</v>
      </c>
      <c r="G166" s="6">
        <v>0.25</v>
      </c>
      <c r="H166" s="7" t="s">
        <v>22</v>
      </c>
      <c r="I166" s="8">
        <f>7/10</f>
        <v>0.7</v>
      </c>
      <c r="J166" s="9">
        <v>0.7</v>
      </c>
      <c r="K166" s="11"/>
    </row>
    <row r="167">
      <c r="A167" s="11"/>
      <c r="B167" s="11"/>
      <c r="C167" s="11"/>
      <c r="D167" s="11"/>
      <c r="E167" s="15"/>
      <c r="F167" s="15"/>
      <c r="G167" s="15"/>
      <c r="H167" s="7" t="s">
        <v>24</v>
      </c>
      <c r="I167" s="13">
        <f>3.45/4</f>
        <v>0.8625</v>
      </c>
      <c r="J167" s="9">
        <v>0.3</v>
      </c>
      <c r="K167" s="11"/>
    </row>
    <row r="168">
      <c r="A168" s="11"/>
      <c r="B168" s="11"/>
      <c r="C168" s="11"/>
      <c r="D168" s="11"/>
      <c r="E168" s="5" t="s">
        <v>26</v>
      </c>
      <c r="F168" s="6">
        <f>(J168*I168)+(I169*J169)+(I170*J170)</f>
        <v>0.562315</v>
      </c>
      <c r="G168" s="6">
        <v>0.3</v>
      </c>
      <c r="H168" s="7" t="s">
        <v>27</v>
      </c>
      <c r="I168" s="13">
        <f>41.09/100</f>
        <v>0.4109</v>
      </c>
      <c r="J168" s="9">
        <v>0.35</v>
      </c>
      <c r="K168" s="11"/>
    </row>
    <row r="169">
      <c r="A169" s="11"/>
      <c r="B169" s="11"/>
      <c r="C169" s="11"/>
      <c r="D169" s="11"/>
      <c r="E169" s="11"/>
      <c r="F169" s="11"/>
      <c r="G169" s="11"/>
      <c r="H169" s="7" t="s">
        <v>29</v>
      </c>
      <c r="I169" s="8">
        <f>38/100</f>
        <v>0.38</v>
      </c>
      <c r="J169" s="9">
        <v>0.3</v>
      </c>
      <c r="K169" s="11"/>
    </row>
    <row r="170">
      <c r="A170" s="11"/>
      <c r="B170" s="11"/>
      <c r="C170" s="11"/>
      <c r="D170" s="11"/>
      <c r="E170" s="15"/>
      <c r="F170" s="15"/>
      <c r="G170" s="15"/>
      <c r="H170" s="7" t="s">
        <v>31</v>
      </c>
      <c r="I170" s="8">
        <v>0.87</v>
      </c>
      <c r="J170" s="9">
        <v>0.35</v>
      </c>
      <c r="K170" s="11"/>
    </row>
    <row r="171">
      <c r="A171" s="11"/>
      <c r="B171" s="11"/>
      <c r="C171" s="11"/>
      <c r="D171" s="11"/>
      <c r="E171" s="5" t="s">
        <v>33</v>
      </c>
      <c r="F171" s="6">
        <f>(J171*I171)+(I172*J172)</f>
        <v>0.542</v>
      </c>
      <c r="G171" s="6">
        <v>0.15</v>
      </c>
      <c r="H171" s="7" t="s">
        <v>34</v>
      </c>
      <c r="I171" s="8">
        <v>0.39</v>
      </c>
      <c r="J171" s="9">
        <v>0.6</v>
      </c>
      <c r="K171" s="11"/>
    </row>
    <row r="172">
      <c r="A172" s="11"/>
      <c r="B172" s="15"/>
      <c r="C172" s="15"/>
      <c r="D172" s="15"/>
      <c r="E172" s="15"/>
      <c r="F172" s="15"/>
      <c r="G172" s="15"/>
      <c r="H172" s="7" t="s">
        <v>36</v>
      </c>
      <c r="I172" s="13">
        <f>3.08/4</f>
        <v>0.77</v>
      </c>
      <c r="J172" s="9">
        <v>0.4</v>
      </c>
      <c r="K172" s="11"/>
    </row>
    <row r="173">
      <c r="A173" s="11"/>
      <c r="B173" s="16" t="s">
        <v>38</v>
      </c>
      <c r="C173" s="17">
        <f>(G173*F173)+(F177*G177)+(F181*G181)</f>
        <v>0.5387375</v>
      </c>
      <c r="D173" s="17">
        <v>0.2</v>
      </c>
      <c r="E173" s="18" t="s">
        <v>39</v>
      </c>
      <c r="F173" s="17">
        <f>(J173*I173)+(J174*I174)+(J175*I175)+(J176*I176)</f>
        <v>0.44475</v>
      </c>
      <c r="G173" s="17">
        <v>0.35</v>
      </c>
      <c r="H173" s="19" t="s">
        <v>40</v>
      </c>
      <c r="I173" s="20">
        <f>4/10</f>
        <v>0.4</v>
      </c>
      <c r="J173" s="21">
        <v>0.3</v>
      </c>
      <c r="K173" s="11"/>
    </row>
    <row r="174">
      <c r="A174" s="11"/>
      <c r="B174" s="11"/>
      <c r="C174" s="11"/>
      <c r="D174" s="11"/>
      <c r="E174" s="11"/>
      <c r="F174" s="11"/>
      <c r="G174" s="11"/>
      <c r="H174" s="19" t="s">
        <v>42</v>
      </c>
      <c r="I174" s="23">
        <f>1.95/4</f>
        <v>0.4875</v>
      </c>
      <c r="J174" s="21">
        <v>0.2</v>
      </c>
      <c r="K174" s="11"/>
    </row>
    <row r="175">
      <c r="A175" s="11"/>
      <c r="B175" s="11"/>
      <c r="C175" s="11"/>
      <c r="D175" s="11"/>
      <c r="E175" s="11"/>
      <c r="F175" s="11"/>
      <c r="G175" s="11"/>
      <c r="H175" s="19" t="s">
        <v>44</v>
      </c>
      <c r="I175" s="23">
        <f>1.71/4</f>
        <v>0.4275</v>
      </c>
      <c r="J175" s="21">
        <v>0.2</v>
      </c>
      <c r="K175" s="11"/>
    </row>
    <row r="176">
      <c r="A176" s="11"/>
      <c r="B176" s="11"/>
      <c r="C176" s="11"/>
      <c r="D176" s="11"/>
      <c r="E176" s="15"/>
      <c r="F176" s="15"/>
      <c r="G176" s="15"/>
      <c r="H176" s="19" t="s">
        <v>46</v>
      </c>
      <c r="I176" s="23">
        <f>1.89/4</f>
        <v>0.4725</v>
      </c>
      <c r="J176" s="21">
        <v>0.3</v>
      </c>
      <c r="K176" s="11"/>
    </row>
    <row r="177">
      <c r="A177" s="11"/>
      <c r="B177" s="11"/>
      <c r="C177" s="11"/>
      <c r="D177" s="11"/>
      <c r="E177" s="18" t="s">
        <v>48</v>
      </c>
      <c r="F177" s="17">
        <f>(J177*I177)+(J178*I178)+(J179*I179)</f>
        <v>0.6205</v>
      </c>
      <c r="G177" s="17">
        <v>0.4</v>
      </c>
      <c r="H177" s="19" t="s">
        <v>49</v>
      </c>
      <c r="I177" s="20">
        <v>0.524</v>
      </c>
      <c r="J177" s="21">
        <v>0.5</v>
      </c>
      <c r="K177" s="11"/>
    </row>
    <row r="178">
      <c r="A178" s="11"/>
      <c r="B178" s="11"/>
      <c r="C178" s="11"/>
      <c r="D178" s="11"/>
      <c r="E178" s="11"/>
      <c r="F178" s="11"/>
      <c r="G178" s="11"/>
      <c r="H178" s="19" t="s">
        <v>51</v>
      </c>
      <c r="I178" s="20">
        <v>0.67</v>
      </c>
      <c r="J178" s="21">
        <v>0.3</v>
      </c>
      <c r="K178" s="11"/>
    </row>
    <row r="179">
      <c r="A179" s="11"/>
      <c r="B179" s="11"/>
      <c r="C179" s="11"/>
      <c r="D179" s="11"/>
      <c r="E179" s="11"/>
      <c r="F179" s="11"/>
      <c r="G179" s="11"/>
      <c r="H179" s="25" t="s">
        <v>53</v>
      </c>
      <c r="I179" s="47">
        <f>3.15/4</f>
        <v>0.7875</v>
      </c>
      <c r="J179" s="17">
        <v>0.2</v>
      </c>
      <c r="K179" s="11"/>
    </row>
    <row r="180">
      <c r="A180" s="11"/>
      <c r="B180" s="11"/>
      <c r="C180" s="11"/>
      <c r="D180" s="11"/>
      <c r="E180" s="15"/>
      <c r="F180" s="15"/>
      <c r="G180" s="15"/>
      <c r="H180" s="15"/>
      <c r="I180" s="15"/>
      <c r="J180" s="15"/>
      <c r="K180" s="11"/>
    </row>
    <row r="181">
      <c r="A181" s="11"/>
      <c r="B181" s="11"/>
      <c r="C181" s="11"/>
      <c r="D181" s="11"/>
      <c r="E181" s="18" t="s">
        <v>56</v>
      </c>
      <c r="F181" s="17">
        <f>(J181*I181)+(I182*J182)+(I183*J183)</f>
        <v>0.5395</v>
      </c>
      <c r="G181" s="17">
        <v>0.25</v>
      </c>
      <c r="H181" s="19" t="s">
        <v>93</v>
      </c>
      <c r="I181" s="23">
        <f>(100-38.8)/100</f>
        <v>0.612</v>
      </c>
      <c r="J181" s="21">
        <v>0.25</v>
      </c>
      <c r="K181" s="11"/>
    </row>
    <row r="182">
      <c r="A182" s="11"/>
      <c r="B182" s="11"/>
      <c r="C182" s="11"/>
      <c r="D182" s="11"/>
      <c r="E182" s="11"/>
      <c r="F182" s="11"/>
      <c r="G182" s="11"/>
      <c r="H182" s="19" t="s">
        <v>58</v>
      </c>
      <c r="I182" s="20">
        <f>2.16/4</f>
        <v>0.54</v>
      </c>
      <c r="J182" s="21">
        <v>0.5</v>
      </c>
      <c r="K182" s="11"/>
    </row>
    <row r="183">
      <c r="A183" s="11"/>
      <c r="B183" s="15"/>
      <c r="C183" s="15"/>
      <c r="D183" s="15"/>
      <c r="E183" s="15"/>
      <c r="F183" s="15"/>
      <c r="G183" s="15"/>
      <c r="H183" s="19" t="s">
        <v>94</v>
      </c>
      <c r="I183" s="23">
        <f>(100-53.4)/100</f>
        <v>0.466</v>
      </c>
      <c r="J183" s="21">
        <v>0.25</v>
      </c>
      <c r="K183" s="11"/>
    </row>
    <row r="184">
      <c r="A184" s="11"/>
      <c r="B184" s="27" t="s">
        <v>60</v>
      </c>
      <c r="C184" s="28">
        <f>(G184*F184)+(F186*G186)</f>
        <v>0.6882</v>
      </c>
      <c r="D184" s="28">
        <v>0.2</v>
      </c>
      <c r="E184" s="29" t="s">
        <v>61</v>
      </c>
      <c r="F184" s="28">
        <f>(J184*I184)+(I185*J185)</f>
        <v>0.7226666667</v>
      </c>
      <c r="G184" s="28">
        <v>0.45</v>
      </c>
      <c r="H184" s="30" t="s">
        <v>62</v>
      </c>
      <c r="I184" s="31">
        <v>0.74</v>
      </c>
      <c r="J184" s="32">
        <v>0.6</v>
      </c>
      <c r="K184" s="11"/>
    </row>
    <row r="185">
      <c r="A185" s="11"/>
      <c r="B185" s="11"/>
      <c r="C185" s="11"/>
      <c r="D185" s="11"/>
      <c r="E185" s="15"/>
      <c r="F185" s="15"/>
      <c r="G185" s="15"/>
      <c r="H185" s="30" t="s">
        <v>63</v>
      </c>
      <c r="I185" s="33">
        <f>2.09/3</f>
        <v>0.6966666667</v>
      </c>
      <c r="J185" s="32">
        <v>0.4</v>
      </c>
      <c r="K185" s="11"/>
    </row>
    <row r="186">
      <c r="A186" s="11"/>
      <c r="B186" s="11"/>
      <c r="C186" s="11"/>
      <c r="D186" s="11"/>
      <c r="E186" s="29" t="s">
        <v>64</v>
      </c>
      <c r="F186" s="28">
        <f>(J186*I186)+(I187*J187)</f>
        <v>0.66</v>
      </c>
      <c r="G186" s="28">
        <v>0.55</v>
      </c>
      <c r="H186" s="30" t="s">
        <v>65</v>
      </c>
      <c r="I186" s="33">
        <f>((7+6+6)/3)/10</f>
        <v>0.6333333333</v>
      </c>
      <c r="J186" s="32">
        <v>0.6</v>
      </c>
      <c r="K186" s="11"/>
    </row>
    <row r="187">
      <c r="A187" s="11"/>
      <c r="B187" s="15"/>
      <c r="C187" s="15"/>
      <c r="D187" s="15"/>
      <c r="E187" s="15"/>
      <c r="F187" s="15"/>
      <c r="G187" s="15"/>
      <c r="H187" s="30" t="s">
        <v>95</v>
      </c>
      <c r="I187" s="31">
        <f>7/10</f>
        <v>0.7</v>
      </c>
      <c r="J187" s="32">
        <v>0.4</v>
      </c>
      <c r="K187" s="11"/>
    </row>
    <row r="188">
      <c r="A188" s="11"/>
      <c r="B188" s="34" t="s">
        <v>67</v>
      </c>
      <c r="C188" s="35">
        <f>(F188*G188)+(F192*G192)</f>
        <v>0.8245375</v>
      </c>
      <c r="D188" s="35">
        <v>0.2</v>
      </c>
      <c r="E188" s="36" t="s">
        <v>68</v>
      </c>
      <c r="F188" s="35">
        <f>(J188*I188)+(J189*I189)+(J190*I190)+(J191*I191)</f>
        <v>0.871</v>
      </c>
      <c r="G188" s="35">
        <v>0.55</v>
      </c>
      <c r="H188" s="37" t="s">
        <v>69</v>
      </c>
      <c r="I188" s="38">
        <v>0.78</v>
      </c>
      <c r="J188" s="39">
        <v>0.35</v>
      </c>
      <c r="K188" s="11"/>
    </row>
    <row r="189">
      <c r="A189" s="11"/>
      <c r="B189" s="11"/>
      <c r="C189" s="11"/>
      <c r="D189" s="11"/>
      <c r="E189" s="11"/>
      <c r="F189" s="11"/>
      <c r="G189" s="11"/>
      <c r="H189" s="37" t="s">
        <v>70</v>
      </c>
      <c r="I189" s="40">
        <f>3.86/4</f>
        <v>0.965</v>
      </c>
      <c r="J189" s="39">
        <v>0.35</v>
      </c>
      <c r="K189" s="11"/>
    </row>
    <row r="190">
      <c r="A190" s="11"/>
      <c r="B190" s="11"/>
      <c r="C190" s="11"/>
      <c r="D190" s="11"/>
      <c r="E190" s="11"/>
      <c r="F190" s="11"/>
      <c r="G190" s="11"/>
      <c r="H190" s="37" t="s">
        <v>71</v>
      </c>
      <c r="I190" s="40">
        <f>2.94/4</f>
        <v>0.735</v>
      </c>
      <c r="J190" s="39">
        <v>0.15</v>
      </c>
      <c r="K190" s="11"/>
    </row>
    <row r="191">
      <c r="A191" s="11"/>
      <c r="B191" s="11"/>
      <c r="C191" s="11"/>
      <c r="D191" s="11"/>
      <c r="E191" s="15"/>
      <c r="F191" s="15"/>
      <c r="G191" s="15"/>
      <c r="H191" s="37" t="s">
        <v>72</v>
      </c>
      <c r="I191" s="38">
        <v>1.0</v>
      </c>
      <c r="J191" s="39">
        <v>0.15</v>
      </c>
      <c r="K191" s="11"/>
    </row>
    <row r="192">
      <c r="A192" s="11"/>
      <c r="B192" s="11"/>
      <c r="C192" s="11"/>
      <c r="D192" s="11"/>
      <c r="E192" s="34" t="s">
        <v>73</v>
      </c>
      <c r="F192" s="35">
        <f>(J192*I192)+(I193*J193)+(I194*J194)</f>
        <v>0.76775</v>
      </c>
      <c r="G192" s="35">
        <v>0.45</v>
      </c>
      <c r="H192" s="37" t="s">
        <v>74</v>
      </c>
      <c r="I192" s="40">
        <f>2.89/4</f>
        <v>0.7225</v>
      </c>
      <c r="J192" s="39">
        <v>0.3</v>
      </c>
      <c r="K192" s="11"/>
    </row>
    <row r="193">
      <c r="A193" s="11"/>
      <c r="B193" s="11"/>
      <c r="C193" s="11"/>
      <c r="D193" s="11"/>
      <c r="E193" s="11"/>
      <c r="F193" s="11"/>
      <c r="G193" s="11"/>
      <c r="H193" s="37" t="s">
        <v>75</v>
      </c>
      <c r="I193" s="40">
        <f>2.76/4</f>
        <v>0.69</v>
      </c>
      <c r="J193" s="39">
        <v>0.3</v>
      </c>
      <c r="K193" s="11"/>
    </row>
    <row r="194">
      <c r="A194" s="11"/>
      <c r="B194" s="15"/>
      <c r="C194" s="15"/>
      <c r="D194" s="15"/>
      <c r="E194" s="15"/>
      <c r="F194" s="15"/>
      <c r="G194" s="15"/>
      <c r="H194" s="37" t="s">
        <v>76</v>
      </c>
      <c r="I194" s="40">
        <f>3.44/4</f>
        <v>0.86</v>
      </c>
      <c r="J194" s="39">
        <v>0.4</v>
      </c>
      <c r="K194" s="11"/>
    </row>
    <row r="195">
      <c r="A195" s="11"/>
      <c r="B195" s="41" t="s">
        <v>77</v>
      </c>
      <c r="C195" s="42">
        <f>(F195*G195)+(F197*G197)</f>
        <v>0.6646</v>
      </c>
      <c r="D195" s="42">
        <v>0.1</v>
      </c>
      <c r="E195" s="41" t="s">
        <v>78</v>
      </c>
      <c r="F195" s="42">
        <f>(J195*I195)+(I196*J196)</f>
        <v>0.665</v>
      </c>
      <c r="G195" s="42">
        <v>0.6</v>
      </c>
      <c r="H195" s="43" t="s">
        <v>79</v>
      </c>
      <c r="I195" s="44">
        <v>1.0</v>
      </c>
      <c r="J195" s="45">
        <v>0.5</v>
      </c>
      <c r="K195" s="11"/>
    </row>
    <row r="196">
      <c r="A196" s="11"/>
      <c r="B196" s="11"/>
      <c r="C196" s="11"/>
      <c r="D196" s="11"/>
      <c r="E196" s="15"/>
      <c r="F196" s="15"/>
      <c r="G196" s="15"/>
      <c r="H196" s="43" t="s">
        <v>80</v>
      </c>
      <c r="I196" s="44">
        <v>0.33</v>
      </c>
      <c r="J196" s="45">
        <v>0.5</v>
      </c>
      <c r="K196" s="11"/>
    </row>
    <row r="197">
      <c r="A197" s="11"/>
      <c r="B197" s="11"/>
      <c r="C197" s="11"/>
      <c r="D197" s="11"/>
      <c r="E197" s="41" t="s">
        <v>81</v>
      </c>
      <c r="F197" s="42">
        <f>(J197*I197)+(I198*J198)</f>
        <v>0.664</v>
      </c>
      <c r="G197" s="42">
        <v>0.4</v>
      </c>
      <c r="H197" s="43" t="s">
        <v>82</v>
      </c>
      <c r="I197" s="44">
        <v>1.0</v>
      </c>
      <c r="J197" s="46">
        <v>0.6</v>
      </c>
      <c r="K197" s="11"/>
    </row>
    <row r="198">
      <c r="A198" s="15"/>
      <c r="B198" s="15"/>
      <c r="C198" s="15"/>
      <c r="D198" s="15"/>
      <c r="E198" s="15"/>
      <c r="F198" s="15"/>
      <c r="G198" s="15"/>
      <c r="H198" s="43" t="s">
        <v>83</v>
      </c>
      <c r="I198" s="44">
        <v>0.16</v>
      </c>
      <c r="J198" s="46">
        <v>0.4</v>
      </c>
      <c r="K198" s="15"/>
    </row>
    <row r="201">
      <c r="A201" s="2" t="s">
        <v>0</v>
      </c>
      <c r="B201" s="2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2" t="s">
        <v>6</v>
      </c>
      <c r="H201" s="3" t="s">
        <v>7</v>
      </c>
      <c r="I201" s="2" t="s">
        <v>8</v>
      </c>
      <c r="J201" s="2" t="s">
        <v>9</v>
      </c>
      <c r="K201" s="2" t="s">
        <v>10</v>
      </c>
    </row>
    <row r="202">
      <c r="A202" s="4" t="s">
        <v>30</v>
      </c>
      <c r="B202" s="5" t="s">
        <v>12</v>
      </c>
      <c r="C202" s="6">
        <f>(G202*F202)+(G206*F206)+(G208*F208)+(G211*F211)</f>
        <v>0.896537</v>
      </c>
      <c r="D202" s="6">
        <v>0.3</v>
      </c>
      <c r="E202" s="5" t="s">
        <v>13</v>
      </c>
      <c r="F202" s="6">
        <f>(J202*I202)+(J203*I203)+(J204*I204)+(J205*I205)</f>
        <v>1.4315</v>
      </c>
      <c r="G202" s="6">
        <v>0.3</v>
      </c>
      <c r="H202" s="7" t="s">
        <v>14</v>
      </c>
      <c r="I202" s="8">
        <v>0.79</v>
      </c>
      <c r="J202" s="9">
        <v>0.15</v>
      </c>
      <c r="K202" s="10">
        <f>(C202*D202)+(C213*D213)+(C224*D224)+(C228*D228)+(C235*D235)</f>
        <v>0.7489561</v>
      </c>
    </row>
    <row r="203">
      <c r="A203" s="11"/>
      <c r="B203" s="11"/>
      <c r="C203" s="11"/>
      <c r="D203" s="11"/>
      <c r="E203" s="11"/>
      <c r="F203" s="11"/>
      <c r="G203" s="11"/>
      <c r="H203" s="7" t="s">
        <v>15</v>
      </c>
      <c r="I203" s="8">
        <v>0.57</v>
      </c>
      <c r="J203" s="9">
        <v>0.5</v>
      </c>
      <c r="K203" s="11"/>
    </row>
    <row r="204">
      <c r="A204" s="11"/>
      <c r="B204" s="11"/>
      <c r="C204" s="11"/>
      <c r="D204" s="11"/>
      <c r="E204" s="11"/>
      <c r="F204" s="11"/>
      <c r="G204" s="11"/>
      <c r="H204" s="7" t="s">
        <v>18</v>
      </c>
      <c r="I204" s="13">
        <f>5.88</f>
        <v>5.88</v>
      </c>
      <c r="J204" s="9">
        <v>0.15</v>
      </c>
      <c r="K204" s="11"/>
    </row>
    <row r="205">
      <c r="A205" s="11"/>
      <c r="B205" s="11"/>
      <c r="C205" s="11"/>
      <c r="D205" s="11"/>
      <c r="E205" s="15"/>
      <c r="F205" s="15"/>
      <c r="G205" s="15"/>
      <c r="H205" s="7" t="s">
        <v>19</v>
      </c>
      <c r="I205" s="8">
        <v>0.73</v>
      </c>
      <c r="J205" s="9">
        <v>0.2</v>
      </c>
      <c r="K205" s="11"/>
    </row>
    <row r="206">
      <c r="A206" s="11"/>
      <c r="B206" s="11"/>
      <c r="C206" s="11"/>
      <c r="D206" s="11"/>
      <c r="E206" s="5" t="s">
        <v>21</v>
      </c>
      <c r="F206" s="6">
        <f>(J206*I206)+(I207*J207)</f>
        <v>0.785</v>
      </c>
      <c r="G206" s="6">
        <v>0.25</v>
      </c>
      <c r="H206" s="7" t="s">
        <v>22</v>
      </c>
      <c r="I206" s="8">
        <f>8/10</f>
        <v>0.8</v>
      </c>
      <c r="J206" s="9">
        <v>0.7</v>
      </c>
      <c r="K206" s="11"/>
    </row>
    <row r="207">
      <c r="A207" s="11"/>
      <c r="B207" s="11"/>
      <c r="C207" s="11"/>
      <c r="D207" s="11"/>
      <c r="E207" s="15"/>
      <c r="F207" s="15"/>
      <c r="G207" s="15"/>
      <c r="H207" s="7" t="s">
        <v>24</v>
      </c>
      <c r="I207" s="8">
        <f>3/4</f>
        <v>0.75</v>
      </c>
      <c r="J207" s="9">
        <v>0.3</v>
      </c>
      <c r="K207" s="11"/>
    </row>
    <row r="208">
      <c r="A208" s="11"/>
      <c r="B208" s="11"/>
      <c r="C208" s="11"/>
      <c r="D208" s="11"/>
      <c r="E208" s="5" t="s">
        <v>26</v>
      </c>
      <c r="F208" s="6">
        <f>(J208*I208)+(I209*J209)+(I210*J210)</f>
        <v>0.59129</v>
      </c>
      <c r="G208" s="6">
        <v>0.3</v>
      </c>
      <c r="H208" s="7" t="s">
        <v>27</v>
      </c>
      <c r="I208" s="13">
        <f>43.94/100</f>
        <v>0.4394</v>
      </c>
      <c r="J208" s="9">
        <v>0.35</v>
      </c>
      <c r="K208" s="11"/>
    </row>
    <row r="209">
      <c r="A209" s="11"/>
      <c r="B209" s="11"/>
      <c r="C209" s="11"/>
      <c r="D209" s="11"/>
      <c r="E209" s="11"/>
      <c r="F209" s="11"/>
      <c r="G209" s="11"/>
      <c r="H209" s="7" t="s">
        <v>29</v>
      </c>
      <c r="I209" s="8">
        <f>42/100</f>
        <v>0.42</v>
      </c>
      <c r="J209" s="9">
        <v>0.3</v>
      </c>
      <c r="K209" s="11"/>
    </row>
    <row r="210">
      <c r="A210" s="11"/>
      <c r="B210" s="11"/>
      <c r="C210" s="11"/>
      <c r="D210" s="11"/>
      <c r="E210" s="15"/>
      <c r="F210" s="15"/>
      <c r="G210" s="15"/>
      <c r="H210" s="7" t="s">
        <v>31</v>
      </c>
      <c r="I210" s="8">
        <v>0.89</v>
      </c>
      <c r="J210" s="9">
        <v>0.35</v>
      </c>
      <c r="K210" s="11"/>
    </row>
    <row r="211">
      <c r="A211" s="11"/>
      <c r="B211" s="11"/>
      <c r="C211" s="11"/>
      <c r="D211" s="11"/>
      <c r="E211" s="5" t="s">
        <v>33</v>
      </c>
      <c r="F211" s="6">
        <f>(J211*I211)+(I212*J212)</f>
        <v>0.623</v>
      </c>
      <c r="G211" s="6">
        <v>0.15</v>
      </c>
      <c r="H211" s="7" t="s">
        <v>34</v>
      </c>
      <c r="I211" s="8">
        <v>0.51</v>
      </c>
      <c r="J211" s="9">
        <v>0.6</v>
      </c>
      <c r="K211" s="11"/>
    </row>
    <row r="212">
      <c r="A212" s="11"/>
      <c r="B212" s="15"/>
      <c r="C212" s="15"/>
      <c r="D212" s="15"/>
      <c r="E212" s="15"/>
      <c r="F212" s="15"/>
      <c r="G212" s="15"/>
      <c r="H212" s="7" t="s">
        <v>36</v>
      </c>
      <c r="I212" s="13">
        <f>3.17/4</f>
        <v>0.7925</v>
      </c>
      <c r="J212" s="9">
        <v>0.4</v>
      </c>
      <c r="K212" s="11"/>
    </row>
    <row r="213">
      <c r="A213" s="11"/>
      <c r="B213" s="16" t="s">
        <v>38</v>
      </c>
      <c r="C213" s="17">
        <f>(G213*F213)+(F217*G217)+(F221*G221)</f>
        <v>0.6247</v>
      </c>
      <c r="D213" s="17">
        <v>0.2</v>
      </c>
      <c r="E213" s="18" t="s">
        <v>39</v>
      </c>
      <c r="F213" s="17">
        <f>(J213*I213)+(J214*I214)+(J215*I215)+(J216*I216)</f>
        <v>0.53075</v>
      </c>
      <c r="G213" s="17">
        <v>0.35</v>
      </c>
      <c r="H213" s="19" t="s">
        <v>40</v>
      </c>
      <c r="I213" s="20">
        <f>5/10</f>
        <v>0.5</v>
      </c>
      <c r="J213" s="21">
        <v>0.3</v>
      </c>
      <c r="K213" s="11"/>
    </row>
    <row r="214">
      <c r="A214" s="11"/>
      <c r="B214" s="11"/>
      <c r="C214" s="11"/>
      <c r="D214" s="11"/>
      <c r="E214" s="11"/>
      <c r="F214" s="11"/>
      <c r="G214" s="11"/>
      <c r="H214" s="19" t="s">
        <v>42</v>
      </c>
      <c r="I214" s="23">
        <f>1.21/4</f>
        <v>0.3025</v>
      </c>
      <c r="J214" s="21">
        <v>0.2</v>
      </c>
      <c r="K214" s="11"/>
    </row>
    <row r="215">
      <c r="A215" s="11"/>
      <c r="B215" s="11"/>
      <c r="C215" s="11"/>
      <c r="D215" s="11"/>
      <c r="E215" s="11"/>
      <c r="F215" s="11"/>
      <c r="G215" s="11"/>
      <c r="H215" s="19" t="s">
        <v>44</v>
      </c>
      <c r="I215" s="23">
        <f>1.98/4</f>
        <v>0.495</v>
      </c>
      <c r="J215" s="21">
        <v>0.2</v>
      </c>
      <c r="K215" s="11"/>
    </row>
    <row r="216">
      <c r="A216" s="11"/>
      <c r="B216" s="11"/>
      <c r="C216" s="11"/>
      <c r="D216" s="11"/>
      <c r="E216" s="15"/>
      <c r="F216" s="15"/>
      <c r="G216" s="15"/>
      <c r="H216" s="19" t="s">
        <v>96</v>
      </c>
      <c r="I216" s="23">
        <f>2.95/4</f>
        <v>0.7375</v>
      </c>
      <c r="J216" s="21">
        <v>0.3</v>
      </c>
      <c r="K216" s="11"/>
    </row>
    <row r="217">
      <c r="A217" s="11"/>
      <c r="B217" s="11"/>
      <c r="C217" s="11"/>
      <c r="D217" s="11"/>
      <c r="E217" s="18" t="s">
        <v>48</v>
      </c>
      <c r="F217" s="17">
        <f>(J217*I217)+(J218*I218)+(J219*I219)</f>
        <v>0.7175</v>
      </c>
      <c r="G217" s="17">
        <v>0.4</v>
      </c>
      <c r="H217" s="19" t="s">
        <v>49</v>
      </c>
      <c r="I217" s="20">
        <v>0.628</v>
      </c>
      <c r="J217" s="21">
        <v>0.5</v>
      </c>
      <c r="K217" s="11"/>
    </row>
    <row r="218">
      <c r="A218" s="11"/>
      <c r="B218" s="11"/>
      <c r="C218" s="11"/>
      <c r="D218" s="11"/>
      <c r="E218" s="11"/>
      <c r="F218" s="11"/>
      <c r="G218" s="11"/>
      <c r="H218" s="19" t="s">
        <v>51</v>
      </c>
      <c r="I218" s="20">
        <v>0.72</v>
      </c>
      <c r="J218" s="21">
        <v>0.3</v>
      </c>
      <c r="K218" s="11"/>
    </row>
    <row r="219">
      <c r="A219" s="11"/>
      <c r="B219" s="11"/>
      <c r="C219" s="11"/>
      <c r="D219" s="11"/>
      <c r="E219" s="11"/>
      <c r="F219" s="11"/>
      <c r="G219" s="11"/>
      <c r="H219" s="25" t="s">
        <v>53</v>
      </c>
      <c r="I219" s="47">
        <f>3.75/4</f>
        <v>0.9375</v>
      </c>
      <c r="J219" s="17">
        <v>0.2</v>
      </c>
      <c r="K219" s="11"/>
    </row>
    <row r="220">
      <c r="A220" s="11"/>
      <c r="B220" s="11"/>
      <c r="C220" s="11"/>
      <c r="D220" s="11"/>
      <c r="E220" s="15"/>
      <c r="F220" s="15"/>
      <c r="G220" s="15"/>
      <c r="H220" s="15"/>
      <c r="I220" s="15"/>
      <c r="J220" s="15"/>
      <c r="K220" s="11"/>
    </row>
    <row r="221">
      <c r="A221" s="11"/>
      <c r="B221" s="11"/>
      <c r="C221" s="11"/>
      <c r="D221" s="11"/>
      <c r="E221" s="18" t="s">
        <v>56</v>
      </c>
      <c r="F221" s="17">
        <f>(J221*I221)+(I222*J222)+(I223*J223)</f>
        <v>0.60775</v>
      </c>
      <c r="G221" s="17">
        <v>0.25</v>
      </c>
      <c r="H221" s="19" t="s">
        <v>97</v>
      </c>
      <c r="I221" s="23">
        <f>(100-43.5)/100</f>
        <v>0.565</v>
      </c>
      <c r="J221" s="21">
        <v>0.25</v>
      </c>
      <c r="K221" s="11"/>
    </row>
    <row r="222">
      <c r="A222" s="11"/>
      <c r="B222" s="11"/>
      <c r="C222" s="11"/>
      <c r="D222" s="11"/>
      <c r="E222" s="11"/>
      <c r="F222" s="11"/>
      <c r="G222" s="11"/>
      <c r="H222" s="19" t="s">
        <v>58</v>
      </c>
      <c r="I222" s="20">
        <f>2.2/4</f>
        <v>0.55</v>
      </c>
      <c r="J222" s="21">
        <v>0.5</v>
      </c>
      <c r="K222" s="11"/>
    </row>
    <row r="223">
      <c r="A223" s="11"/>
      <c r="B223" s="15"/>
      <c r="C223" s="15"/>
      <c r="D223" s="15"/>
      <c r="E223" s="15"/>
      <c r="F223" s="15"/>
      <c r="G223" s="15"/>
      <c r="H223" s="19" t="s">
        <v>98</v>
      </c>
      <c r="I223" s="23">
        <f>(100-23.4)/100</f>
        <v>0.766</v>
      </c>
      <c r="J223" s="21">
        <v>0.25</v>
      </c>
      <c r="K223" s="11"/>
    </row>
    <row r="224">
      <c r="A224" s="11"/>
      <c r="B224" s="27" t="s">
        <v>60</v>
      </c>
      <c r="C224" s="28">
        <f>(G224*F224)+(F226*G226)</f>
        <v>0.7322</v>
      </c>
      <c r="D224" s="28">
        <v>0.2</v>
      </c>
      <c r="E224" s="29" t="s">
        <v>61</v>
      </c>
      <c r="F224" s="28">
        <f>(J224*I224)+(I225*J225)</f>
        <v>0.796</v>
      </c>
      <c r="G224" s="28">
        <v>0.45</v>
      </c>
      <c r="H224" s="30" t="s">
        <v>62</v>
      </c>
      <c r="I224" s="31">
        <v>0.82</v>
      </c>
      <c r="J224" s="32">
        <v>0.6</v>
      </c>
      <c r="K224" s="11"/>
    </row>
    <row r="225">
      <c r="A225" s="11"/>
      <c r="B225" s="11"/>
      <c r="C225" s="11"/>
      <c r="D225" s="11"/>
      <c r="E225" s="15"/>
      <c r="F225" s="15"/>
      <c r="G225" s="15"/>
      <c r="H225" s="30" t="s">
        <v>63</v>
      </c>
      <c r="I225" s="33">
        <f>2.28/3</f>
        <v>0.76</v>
      </c>
      <c r="J225" s="32">
        <v>0.4</v>
      </c>
      <c r="K225" s="11"/>
    </row>
    <row r="226">
      <c r="A226" s="11"/>
      <c r="B226" s="11"/>
      <c r="C226" s="11"/>
      <c r="D226" s="11"/>
      <c r="E226" s="29" t="s">
        <v>64</v>
      </c>
      <c r="F226" s="28">
        <f>(J226*I226)+(I227*J227)</f>
        <v>0.68</v>
      </c>
      <c r="G226" s="28">
        <v>0.55</v>
      </c>
      <c r="H226" s="30" t="s">
        <v>65</v>
      </c>
      <c r="I226" s="31">
        <f>6/10</f>
        <v>0.6</v>
      </c>
      <c r="J226" s="32">
        <v>0.6</v>
      </c>
      <c r="K226" s="11"/>
    </row>
    <row r="227">
      <c r="A227" s="11"/>
      <c r="B227" s="15"/>
      <c r="C227" s="15"/>
      <c r="D227" s="15"/>
      <c r="E227" s="15"/>
      <c r="F227" s="15"/>
      <c r="G227" s="15"/>
      <c r="H227" s="30" t="s">
        <v>95</v>
      </c>
      <c r="I227" s="31">
        <f>8/10</f>
        <v>0.8</v>
      </c>
      <c r="J227" s="32">
        <v>0.4</v>
      </c>
      <c r="K227" s="11"/>
    </row>
    <row r="228">
      <c r="A228" s="11"/>
      <c r="B228" s="34" t="s">
        <v>67</v>
      </c>
      <c r="C228" s="35">
        <f>(F228*G228)+(F232*G232)</f>
        <v>0.813175</v>
      </c>
      <c r="D228" s="35">
        <v>0.2</v>
      </c>
      <c r="E228" s="36" t="s">
        <v>68</v>
      </c>
      <c r="F228" s="35">
        <f>(J228*I228)+(J229*I229)+(J230*I230)+(J231*I231)</f>
        <v>0.81475</v>
      </c>
      <c r="G228" s="35">
        <v>0.55</v>
      </c>
      <c r="H228" s="37" t="s">
        <v>69</v>
      </c>
      <c r="I228" s="38">
        <v>0.71</v>
      </c>
      <c r="J228" s="39">
        <v>0.35</v>
      </c>
      <c r="K228" s="11"/>
    </row>
    <row r="229">
      <c r="A229" s="11"/>
      <c r="B229" s="11"/>
      <c r="C229" s="11"/>
      <c r="D229" s="11"/>
      <c r="E229" s="11"/>
      <c r="F229" s="11"/>
      <c r="G229" s="11"/>
      <c r="H229" s="37" t="s">
        <v>70</v>
      </c>
      <c r="I229" s="40">
        <f>3.18/4</f>
        <v>0.795</v>
      </c>
      <c r="J229" s="39">
        <v>0.35</v>
      </c>
      <c r="K229" s="11"/>
    </row>
    <row r="230">
      <c r="A230" s="11"/>
      <c r="B230" s="11"/>
      <c r="C230" s="11"/>
      <c r="D230" s="11"/>
      <c r="E230" s="11"/>
      <c r="F230" s="11"/>
      <c r="G230" s="11"/>
      <c r="H230" s="37" t="s">
        <v>71</v>
      </c>
      <c r="I230" s="40">
        <f>3.68/4</f>
        <v>0.92</v>
      </c>
      <c r="J230" s="39">
        <v>0.15</v>
      </c>
      <c r="K230" s="11"/>
    </row>
    <row r="231">
      <c r="A231" s="11"/>
      <c r="B231" s="11"/>
      <c r="C231" s="11"/>
      <c r="D231" s="11"/>
      <c r="E231" s="15"/>
      <c r="F231" s="15"/>
      <c r="G231" s="15"/>
      <c r="H231" s="37" t="s">
        <v>72</v>
      </c>
      <c r="I231" s="38">
        <v>1.0</v>
      </c>
      <c r="J231" s="39">
        <v>0.15</v>
      </c>
      <c r="K231" s="11"/>
    </row>
    <row r="232">
      <c r="A232" s="11"/>
      <c r="B232" s="11"/>
      <c r="C232" s="11"/>
      <c r="D232" s="11"/>
      <c r="E232" s="34" t="s">
        <v>73</v>
      </c>
      <c r="F232" s="35">
        <f>(J232*I232)+(I233*J233)+(I234*J234)</f>
        <v>0.81125</v>
      </c>
      <c r="G232" s="35">
        <v>0.45</v>
      </c>
      <c r="H232" s="37" t="s">
        <v>74</v>
      </c>
      <c r="I232" s="40">
        <f>2.55/4</f>
        <v>0.6375</v>
      </c>
      <c r="J232" s="39">
        <v>0.3</v>
      </c>
      <c r="K232" s="11"/>
    </row>
    <row r="233">
      <c r="A233" s="11"/>
      <c r="B233" s="11"/>
      <c r="C233" s="11"/>
      <c r="D233" s="11"/>
      <c r="E233" s="11"/>
      <c r="F233" s="11"/>
      <c r="G233" s="11"/>
      <c r="H233" s="37" t="s">
        <v>75</v>
      </c>
      <c r="I233" s="40">
        <f>3.68/4</f>
        <v>0.92</v>
      </c>
      <c r="J233" s="39">
        <v>0.3</v>
      </c>
      <c r="K233" s="11"/>
    </row>
    <row r="234">
      <c r="A234" s="11"/>
      <c r="B234" s="15"/>
      <c r="C234" s="15"/>
      <c r="D234" s="15"/>
      <c r="E234" s="15"/>
      <c r="F234" s="15"/>
      <c r="G234" s="15"/>
      <c r="H234" s="37" t="s">
        <v>76</v>
      </c>
      <c r="I234" s="40">
        <f>3.44/4</f>
        <v>0.86</v>
      </c>
      <c r="J234" s="39">
        <v>0.4</v>
      </c>
      <c r="K234" s="11"/>
    </row>
    <row r="235">
      <c r="A235" s="11"/>
      <c r="B235" s="41" t="s">
        <v>77</v>
      </c>
      <c r="C235" s="42">
        <f>(F235*G235)+(F237*G237)</f>
        <v>0.4598</v>
      </c>
      <c r="D235" s="42">
        <v>0.1</v>
      </c>
      <c r="E235" s="41" t="s">
        <v>78</v>
      </c>
      <c r="F235" s="42">
        <f>(J235*I235)+(I236*J236)</f>
        <v>0.665</v>
      </c>
      <c r="G235" s="42">
        <v>0.6</v>
      </c>
      <c r="H235" s="43" t="s">
        <v>79</v>
      </c>
      <c r="I235" s="44">
        <v>1.0</v>
      </c>
      <c r="J235" s="45">
        <v>0.5</v>
      </c>
      <c r="K235" s="11"/>
    </row>
    <row r="236">
      <c r="A236" s="11"/>
      <c r="B236" s="11"/>
      <c r="C236" s="11"/>
      <c r="D236" s="11"/>
      <c r="E236" s="15"/>
      <c r="F236" s="15"/>
      <c r="G236" s="15"/>
      <c r="H236" s="43" t="s">
        <v>80</v>
      </c>
      <c r="I236" s="44">
        <v>0.33</v>
      </c>
      <c r="J236" s="45">
        <v>0.5</v>
      </c>
      <c r="K236" s="11"/>
    </row>
    <row r="237">
      <c r="A237" s="11"/>
      <c r="B237" s="11"/>
      <c r="C237" s="11"/>
      <c r="D237" s="11"/>
      <c r="E237" s="41" t="s">
        <v>81</v>
      </c>
      <c r="F237" s="42">
        <f>(J237*I237)+(I238*J238)</f>
        <v>0.152</v>
      </c>
      <c r="G237" s="42">
        <v>0.4</v>
      </c>
      <c r="H237" s="43" t="s">
        <v>82</v>
      </c>
      <c r="I237" s="44">
        <v>0.0</v>
      </c>
      <c r="J237" s="46">
        <v>0.6</v>
      </c>
      <c r="K237" s="11"/>
    </row>
    <row r="238">
      <c r="A238" s="15"/>
      <c r="B238" s="15"/>
      <c r="C238" s="15"/>
      <c r="D238" s="15"/>
      <c r="E238" s="15"/>
      <c r="F238" s="15"/>
      <c r="G238" s="15"/>
      <c r="H238" s="43" t="s">
        <v>83</v>
      </c>
      <c r="I238" s="44">
        <v>0.38</v>
      </c>
      <c r="J238" s="46">
        <v>0.4</v>
      </c>
      <c r="K238" s="15"/>
    </row>
    <row r="241">
      <c r="A241" s="2" t="s">
        <v>0</v>
      </c>
      <c r="B241" s="2" t="s">
        <v>1</v>
      </c>
      <c r="C241" s="2" t="s">
        <v>2</v>
      </c>
      <c r="D241" s="2" t="s">
        <v>3</v>
      </c>
      <c r="E241" s="2" t="s">
        <v>4</v>
      </c>
      <c r="F241" s="2" t="s">
        <v>5</v>
      </c>
      <c r="G241" s="2" t="s">
        <v>6</v>
      </c>
      <c r="H241" s="3" t="s">
        <v>7</v>
      </c>
      <c r="I241" s="2" t="s">
        <v>8</v>
      </c>
      <c r="J241" s="2" t="s">
        <v>9</v>
      </c>
      <c r="K241" s="2" t="s">
        <v>10</v>
      </c>
    </row>
    <row r="242">
      <c r="A242" s="4" t="s">
        <v>32</v>
      </c>
      <c r="B242" s="5" t="s">
        <v>12</v>
      </c>
      <c r="C242" s="6">
        <f>(G242*F242)+(G246*F246)+(G248*F248)+(G251*F251)</f>
        <v>0.286129</v>
      </c>
      <c r="D242" s="6">
        <v>0.3</v>
      </c>
      <c r="E242" s="5" t="s">
        <v>13</v>
      </c>
      <c r="F242" s="6">
        <f>(J242*I242)+(J243*I243)+(J244*I244)+(J245*I245)</f>
        <v>0.2364</v>
      </c>
      <c r="G242" s="6">
        <v>0.3</v>
      </c>
      <c r="H242" s="7" t="s">
        <v>14</v>
      </c>
      <c r="I242" s="8">
        <v>0.63</v>
      </c>
      <c r="J242" s="9">
        <v>0.15</v>
      </c>
      <c r="K242" s="10">
        <f>(C242*D242)+(C253*D253)+(C264*D264)+(C268*D268)+(C275*D275)</f>
        <v>0.29971745</v>
      </c>
    </row>
    <row r="243">
      <c r="A243" s="11"/>
      <c r="B243" s="11"/>
      <c r="C243" s="11"/>
      <c r="D243" s="11"/>
      <c r="E243" s="11"/>
      <c r="F243" s="11"/>
      <c r="G243" s="11"/>
      <c r="H243" s="7" t="s">
        <v>15</v>
      </c>
      <c r="I243" s="8">
        <v>0.11</v>
      </c>
      <c r="J243" s="9">
        <v>0.5</v>
      </c>
      <c r="K243" s="11"/>
    </row>
    <row r="244">
      <c r="A244" s="11"/>
      <c r="B244" s="11"/>
      <c r="C244" s="11"/>
      <c r="D244" s="11"/>
      <c r="E244" s="11"/>
      <c r="F244" s="11"/>
      <c r="G244" s="11"/>
      <c r="H244" s="7" t="s">
        <v>18</v>
      </c>
      <c r="I244" s="13">
        <f>2.06/10</f>
        <v>0.206</v>
      </c>
      <c r="J244" s="9">
        <v>0.15</v>
      </c>
      <c r="K244" s="11"/>
    </row>
    <row r="245">
      <c r="A245" s="11"/>
      <c r="B245" s="11"/>
      <c r="C245" s="11"/>
      <c r="D245" s="11"/>
      <c r="E245" s="15"/>
      <c r="F245" s="15"/>
      <c r="G245" s="15"/>
      <c r="H245" s="7" t="s">
        <v>19</v>
      </c>
      <c r="I245" s="8">
        <v>0.28</v>
      </c>
      <c r="J245" s="9">
        <v>0.2</v>
      </c>
      <c r="K245" s="11"/>
    </row>
    <row r="246">
      <c r="A246" s="11"/>
      <c r="B246" s="11"/>
      <c r="C246" s="11"/>
      <c r="D246" s="11"/>
      <c r="E246" s="5" t="s">
        <v>21</v>
      </c>
      <c r="F246" s="6">
        <f>(J246*I246)+(I247*J247)</f>
        <v>0.1435</v>
      </c>
      <c r="G246" s="6">
        <v>0.25</v>
      </c>
      <c r="H246" s="7" t="s">
        <v>22</v>
      </c>
      <c r="I246" s="8">
        <f>1/10</f>
        <v>0.1</v>
      </c>
      <c r="J246" s="9">
        <v>0.7</v>
      </c>
      <c r="K246" s="11"/>
    </row>
    <row r="247">
      <c r="A247" s="11"/>
      <c r="B247" s="11"/>
      <c r="C247" s="11"/>
      <c r="D247" s="11"/>
      <c r="E247" s="15"/>
      <c r="F247" s="15"/>
      <c r="G247" s="15"/>
      <c r="H247" s="7" t="s">
        <v>24</v>
      </c>
      <c r="I247" s="13">
        <f>0.98/4</f>
        <v>0.245</v>
      </c>
      <c r="J247" s="9">
        <v>0.3</v>
      </c>
      <c r="K247" s="11"/>
    </row>
    <row r="248">
      <c r="A248" s="11"/>
      <c r="B248" s="11"/>
      <c r="C248" s="11"/>
      <c r="D248" s="11"/>
      <c r="E248" s="5" t="s">
        <v>26</v>
      </c>
      <c r="F248" s="6">
        <f>(J248*I248)+(I249*J249)+(I250*J250)</f>
        <v>0.33978</v>
      </c>
      <c r="G248" s="6">
        <v>0.3</v>
      </c>
      <c r="H248" s="7" t="s">
        <v>27</v>
      </c>
      <c r="I248" s="13">
        <f>24.08/100</f>
        <v>0.2408</v>
      </c>
      <c r="J248" s="9">
        <v>0.35</v>
      </c>
      <c r="K248" s="11"/>
    </row>
    <row r="249">
      <c r="A249" s="11"/>
      <c r="B249" s="11"/>
      <c r="C249" s="11"/>
      <c r="D249" s="11"/>
      <c r="E249" s="11"/>
      <c r="F249" s="11"/>
      <c r="G249" s="11"/>
      <c r="H249" s="7" t="s">
        <v>29</v>
      </c>
      <c r="I249" s="8">
        <f>28/100</f>
        <v>0.28</v>
      </c>
      <c r="J249" s="9">
        <v>0.3</v>
      </c>
      <c r="K249" s="11"/>
    </row>
    <row r="250">
      <c r="A250" s="11"/>
      <c r="B250" s="11"/>
      <c r="C250" s="11"/>
      <c r="D250" s="11"/>
      <c r="E250" s="15"/>
      <c r="F250" s="15"/>
      <c r="G250" s="15"/>
      <c r="H250" s="7" t="s">
        <v>31</v>
      </c>
      <c r="I250" s="8">
        <v>0.49</v>
      </c>
      <c r="J250" s="9">
        <v>0.35</v>
      </c>
      <c r="K250" s="11"/>
    </row>
    <row r="251">
      <c r="A251" s="11"/>
      <c r="B251" s="11"/>
      <c r="C251" s="11"/>
      <c r="D251" s="11"/>
      <c r="E251" s="5" t="s">
        <v>33</v>
      </c>
      <c r="F251" s="6">
        <f>(J251*I251)+(I252*J252)</f>
        <v>0.516</v>
      </c>
      <c r="G251" s="6">
        <v>0.15</v>
      </c>
      <c r="H251" s="7" t="s">
        <v>34</v>
      </c>
      <c r="I251" s="8">
        <v>0.36</v>
      </c>
      <c r="J251" s="9">
        <v>0.6</v>
      </c>
      <c r="K251" s="11"/>
    </row>
    <row r="252">
      <c r="A252" s="11"/>
      <c r="B252" s="15"/>
      <c r="C252" s="15"/>
      <c r="D252" s="15"/>
      <c r="E252" s="15"/>
      <c r="F252" s="15"/>
      <c r="G252" s="15"/>
      <c r="H252" s="7" t="s">
        <v>36</v>
      </c>
      <c r="I252" s="13">
        <f>3/4</f>
        <v>0.75</v>
      </c>
      <c r="J252" s="9">
        <v>0.4</v>
      </c>
      <c r="K252" s="11"/>
    </row>
    <row r="253">
      <c r="A253" s="11"/>
      <c r="B253" s="16" t="s">
        <v>38</v>
      </c>
      <c r="C253" s="17">
        <f>(G253*F253)+(F257*G257)+(F261*G261)</f>
        <v>0.3980875</v>
      </c>
      <c r="D253" s="17">
        <v>0.2</v>
      </c>
      <c r="E253" s="18" t="s">
        <v>39</v>
      </c>
      <c r="F253" s="17">
        <f>(J253*I253)+(J254*I254)+(J255*I255)+(J256*I256)</f>
        <v>0.27975</v>
      </c>
      <c r="G253" s="17">
        <v>0.35</v>
      </c>
      <c r="H253" s="19" t="s">
        <v>40</v>
      </c>
      <c r="I253" s="20">
        <f>4/10</f>
        <v>0.4</v>
      </c>
      <c r="J253" s="21">
        <v>0.3</v>
      </c>
      <c r="K253" s="11"/>
    </row>
    <row r="254">
      <c r="A254" s="11"/>
      <c r="B254" s="11"/>
      <c r="C254" s="11"/>
      <c r="D254" s="11"/>
      <c r="E254" s="11"/>
      <c r="F254" s="11"/>
      <c r="G254" s="11"/>
      <c r="H254" s="19" t="s">
        <v>42</v>
      </c>
      <c r="I254" s="23">
        <f>0.35/4</f>
        <v>0.0875</v>
      </c>
      <c r="J254" s="21">
        <v>0.2</v>
      </c>
      <c r="K254" s="11"/>
    </row>
    <row r="255">
      <c r="A255" s="11"/>
      <c r="B255" s="11"/>
      <c r="C255" s="11"/>
      <c r="D255" s="11"/>
      <c r="E255" s="11"/>
      <c r="F255" s="11"/>
      <c r="G255" s="11"/>
      <c r="H255" s="19" t="s">
        <v>44</v>
      </c>
      <c r="I255" s="23">
        <f>0.49/4</f>
        <v>0.1225</v>
      </c>
      <c r="J255" s="21">
        <v>0.2</v>
      </c>
      <c r="K255" s="11"/>
    </row>
    <row r="256">
      <c r="A256" s="11"/>
      <c r="B256" s="11"/>
      <c r="C256" s="11"/>
      <c r="D256" s="11"/>
      <c r="E256" s="15"/>
      <c r="F256" s="15"/>
      <c r="G256" s="15"/>
      <c r="H256" s="19" t="s">
        <v>99</v>
      </c>
      <c r="I256" s="23">
        <f>1.57/4</f>
        <v>0.3925</v>
      </c>
      <c r="J256" s="21">
        <v>0.3</v>
      </c>
      <c r="K256" s="11"/>
    </row>
    <row r="257">
      <c r="A257" s="11"/>
      <c r="B257" s="11"/>
      <c r="C257" s="11"/>
      <c r="D257" s="11"/>
      <c r="E257" s="18" t="s">
        <v>48</v>
      </c>
      <c r="F257" s="17">
        <f>(J257*I257)+(J258*I258)+(J259*I259)</f>
        <v>0.4095</v>
      </c>
      <c r="G257" s="17">
        <v>0.4</v>
      </c>
      <c r="H257" s="19" t="s">
        <v>49</v>
      </c>
      <c r="I257" s="20">
        <v>0.5</v>
      </c>
      <c r="J257" s="21">
        <v>0.5</v>
      </c>
      <c r="K257" s="11"/>
    </row>
    <row r="258">
      <c r="A258" s="11"/>
      <c r="B258" s="11"/>
      <c r="C258" s="11"/>
      <c r="D258" s="11"/>
      <c r="E258" s="11"/>
      <c r="F258" s="11"/>
      <c r="G258" s="11"/>
      <c r="H258" s="19" t="s">
        <v>51</v>
      </c>
      <c r="I258" s="20">
        <v>0.4</v>
      </c>
      <c r="J258" s="21">
        <v>0.3</v>
      </c>
      <c r="K258" s="11"/>
    </row>
    <row r="259">
      <c r="A259" s="11"/>
      <c r="B259" s="11"/>
      <c r="C259" s="11"/>
      <c r="D259" s="11"/>
      <c r="E259" s="11"/>
      <c r="F259" s="11"/>
      <c r="G259" s="11"/>
      <c r="H259" s="25" t="s">
        <v>53</v>
      </c>
      <c r="I259" s="47">
        <f>0.79/4</f>
        <v>0.1975</v>
      </c>
      <c r="J259" s="17">
        <v>0.2</v>
      </c>
      <c r="K259" s="11"/>
    </row>
    <row r="260">
      <c r="A260" s="11"/>
      <c r="B260" s="11"/>
      <c r="C260" s="11"/>
      <c r="D260" s="11"/>
      <c r="E260" s="15"/>
      <c r="F260" s="15"/>
      <c r="G260" s="15"/>
      <c r="H260" s="15"/>
      <c r="I260" s="15"/>
      <c r="J260" s="15"/>
      <c r="K260" s="11"/>
    </row>
    <row r="261">
      <c r="A261" s="11"/>
      <c r="B261" s="11"/>
      <c r="C261" s="11"/>
      <c r="D261" s="11"/>
      <c r="E261" s="18" t="s">
        <v>56</v>
      </c>
      <c r="F261" s="17">
        <f>(J261*I261)+(I262*J262)+(I263*J263)</f>
        <v>0.5455</v>
      </c>
      <c r="G261" s="17">
        <v>0.25</v>
      </c>
      <c r="H261" s="19" t="s">
        <v>100</v>
      </c>
      <c r="I261" s="23">
        <f>(100-29.6)/100</f>
        <v>0.704</v>
      </c>
      <c r="J261" s="21">
        <v>0.25</v>
      </c>
      <c r="K261" s="11"/>
    </row>
    <row r="262">
      <c r="A262" s="11"/>
      <c r="B262" s="11"/>
      <c r="C262" s="11"/>
      <c r="D262" s="11"/>
      <c r="E262" s="11"/>
      <c r="F262" s="11"/>
      <c r="G262" s="11"/>
      <c r="H262" s="19" t="s">
        <v>58</v>
      </c>
      <c r="I262" s="23">
        <f>1.83/4</f>
        <v>0.4575</v>
      </c>
      <c r="J262" s="21">
        <v>0.5</v>
      </c>
      <c r="K262" s="11"/>
    </row>
    <row r="263">
      <c r="A263" s="11"/>
      <c r="B263" s="15"/>
      <c r="C263" s="15"/>
      <c r="D263" s="15"/>
      <c r="E263" s="15"/>
      <c r="F263" s="15"/>
      <c r="G263" s="15"/>
      <c r="H263" s="19" t="s">
        <v>101</v>
      </c>
      <c r="I263" s="23">
        <f>(100-43.7)/100</f>
        <v>0.563</v>
      </c>
      <c r="J263" s="21">
        <v>0.25</v>
      </c>
      <c r="K263" s="11"/>
    </row>
    <row r="264">
      <c r="A264" s="11"/>
      <c r="B264" s="27" t="s">
        <v>60</v>
      </c>
      <c r="C264" s="28">
        <f>(G264*F264)+(F266*G266)</f>
        <v>0.2459</v>
      </c>
      <c r="D264" s="28">
        <v>0.2</v>
      </c>
      <c r="E264" s="29" t="s">
        <v>61</v>
      </c>
      <c r="F264" s="28">
        <f>(J264*I264)+(I265*J265)</f>
        <v>0.2286666667</v>
      </c>
      <c r="G264" s="28">
        <v>0.45</v>
      </c>
      <c r="H264" s="30" t="s">
        <v>62</v>
      </c>
      <c r="I264" s="31">
        <v>0.27</v>
      </c>
      <c r="J264" s="32">
        <v>0.6</v>
      </c>
      <c r="K264" s="11"/>
    </row>
    <row r="265">
      <c r="A265" s="11"/>
      <c r="B265" s="11"/>
      <c r="C265" s="11"/>
      <c r="D265" s="11"/>
      <c r="E265" s="15"/>
      <c r="F265" s="15"/>
      <c r="G265" s="15"/>
      <c r="H265" s="30" t="s">
        <v>63</v>
      </c>
      <c r="I265" s="33">
        <f>0.5/3</f>
        <v>0.1666666667</v>
      </c>
      <c r="J265" s="32">
        <v>0.4</v>
      </c>
      <c r="K265" s="11"/>
    </row>
    <row r="266">
      <c r="A266" s="11"/>
      <c r="B266" s="11"/>
      <c r="C266" s="11"/>
      <c r="D266" s="11"/>
      <c r="E266" s="29" t="s">
        <v>64</v>
      </c>
      <c r="F266" s="28">
        <f>(J266*I266)+(I267*J267)</f>
        <v>0.26</v>
      </c>
      <c r="G266" s="28">
        <v>0.55</v>
      </c>
      <c r="H266" s="30" t="s">
        <v>65</v>
      </c>
      <c r="I266" s="33">
        <f>((4+4+5)/3)/10</f>
        <v>0.4333333333</v>
      </c>
      <c r="J266" s="32">
        <v>0.6</v>
      </c>
      <c r="K266" s="11"/>
    </row>
    <row r="267">
      <c r="A267" s="11"/>
      <c r="B267" s="15"/>
      <c r="C267" s="15"/>
      <c r="D267" s="15"/>
      <c r="E267" s="15"/>
      <c r="F267" s="15"/>
      <c r="G267" s="15"/>
      <c r="H267" s="30" t="s">
        <v>66</v>
      </c>
      <c r="I267" s="31"/>
      <c r="J267" s="32">
        <v>0.4</v>
      </c>
      <c r="K267" s="11"/>
    </row>
    <row r="268">
      <c r="A268" s="11"/>
      <c r="B268" s="34" t="s">
        <v>67</v>
      </c>
      <c r="C268" s="35">
        <f>(F268*G268)+(F272*G272)</f>
        <v>0.41500625</v>
      </c>
      <c r="D268" s="35">
        <v>0.2</v>
      </c>
      <c r="E268" s="36" t="s">
        <v>68</v>
      </c>
      <c r="F268" s="35">
        <f>(J268*I268)+(J269*I269)+(J270*I270)+(J271*I271)</f>
        <v>0.372875</v>
      </c>
      <c r="G268" s="35">
        <v>0.55</v>
      </c>
      <c r="H268" s="37" t="s">
        <v>69</v>
      </c>
      <c r="I268" s="38">
        <v>0.0</v>
      </c>
      <c r="J268" s="39">
        <v>0.35</v>
      </c>
      <c r="K268" s="11"/>
    </row>
    <row r="269">
      <c r="A269" s="11"/>
      <c r="B269" s="11"/>
      <c r="C269" s="11"/>
      <c r="D269" s="11"/>
      <c r="E269" s="11"/>
      <c r="F269" s="11"/>
      <c r="G269" s="11"/>
      <c r="H269" s="37" t="s">
        <v>70</v>
      </c>
      <c r="I269" s="40">
        <f>1.21/4</f>
        <v>0.3025</v>
      </c>
      <c r="J269" s="39">
        <v>0.35</v>
      </c>
      <c r="K269" s="11"/>
    </row>
    <row r="270">
      <c r="A270" s="11"/>
      <c r="B270" s="11"/>
      <c r="C270" s="11"/>
      <c r="D270" s="11"/>
      <c r="E270" s="11"/>
      <c r="F270" s="11"/>
      <c r="G270" s="11"/>
      <c r="H270" s="37" t="s">
        <v>71</v>
      </c>
      <c r="I270" s="40">
        <f>3.12/4</f>
        <v>0.78</v>
      </c>
      <c r="J270" s="39">
        <v>0.15</v>
      </c>
      <c r="K270" s="11"/>
    </row>
    <row r="271">
      <c r="A271" s="11"/>
      <c r="B271" s="11"/>
      <c r="C271" s="11"/>
      <c r="D271" s="11"/>
      <c r="E271" s="15"/>
      <c r="F271" s="15"/>
      <c r="G271" s="15"/>
      <c r="H271" s="37" t="s">
        <v>72</v>
      </c>
      <c r="I271" s="38">
        <v>1.0</v>
      </c>
      <c r="J271" s="39">
        <v>0.15</v>
      </c>
      <c r="K271" s="11"/>
    </row>
    <row r="272">
      <c r="A272" s="11"/>
      <c r="B272" s="11"/>
      <c r="C272" s="11"/>
      <c r="D272" s="11"/>
      <c r="E272" s="34" t="s">
        <v>73</v>
      </c>
      <c r="F272" s="35">
        <f>(J272*I272)+(I273*J273)+(I274*J274)</f>
        <v>0.4665</v>
      </c>
      <c r="G272" s="35">
        <v>0.45</v>
      </c>
      <c r="H272" s="37" t="s">
        <v>74</v>
      </c>
      <c r="I272" s="40">
        <f>2.58/4</f>
        <v>0.645</v>
      </c>
      <c r="J272" s="39">
        <v>0.3</v>
      </c>
      <c r="K272" s="11"/>
    </row>
    <row r="273">
      <c r="A273" s="11"/>
      <c r="B273" s="11"/>
      <c r="C273" s="11"/>
      <c r="D273" s="11"/>
      <c r="E273" s="11"/>
      <c r="F273" s="11"/>
      <c r="G273" s="11"/>
      <c r="H273" s="37" t="s">
        <v>75</v>
      </c>
      <c r="I273" s="40">
        <f>1.48/4</f>
        <v>0.37</v>
      </c>
      <c r="J273" s="39">
        <v>0.3</v>
      </c>
      <c r="K273" s="11"/>
    </row>
    <row r="274">
      <c r="A274" s="11"/>
      <c r="B274" s="15"/>
      <c r="C274" s="15"/>
      <c r="D274" s="15"/>
      <c r="E274" s="15"/>
      <c r="F274" s="15"/>
      <c r="G274" s="15"/>
      <c r="H274" s="37" t="s">
        <v>76</v>
      </c>
      <c r="I274" s="40">
        <f>1.62/4</f>
        <v>0.405</v>
      </c>
      <c r="J274" s="39">
        <v>0.4</v>
      </c>
      <c r="K274" s="11"/>
    </row>
    <row r="275">
      <c r="A275" s="11"/>
      <c r="B275" s="41" t="s">
        <v>77</v>
      </c>
      <c r="C275" s="42">
        <f>(F275*G275)+(F277*G277)</f>
        <v>0.0208</v>
      </c>
      <c r="D275" s="42">
        <v>0.1</v>
      </c>
      <c r="E275" s="41" t="s">
        <v>78</v>
      </c>
      <c r="F275" s="42">
        <f>(J275*I275)+(I276*J276)</f>
        <v>0</v>
      </c>
      <c r="G275" s="42">
        <v>0.6</v>
      </c>
      <c r="H275" s="43" t="s">
        <v>79</v>
      </c>
      <c r="I275" s="44">
        <v>0.0</v>
      </c>
      <c r="J275" s="45">
        <v>0.5</v>
      </c>
      <c r="K275" s="11"/>
    </row>
    <row r="276">
      <c r="A276" s="11"/>
      <c r="B276" s="11"/>
      <c r="C276" s="11"/>
      <c r="D276" s="11"/>
      <c r="E276" s="15"/>
      <c r="F276" s="15"/>
      <c r="G276" s="15"/>
      <c r="H276" s="43" t="s">
        <v>80</v>
      </c>
      <c r="I276" s="44">
        <v>0.0</v>
      </c>
      <c r="J276" s="45">
        <v>0.5</v>
      </c>
      <c r="K276" s="11"/>
    </row>
    <row r="277">
      <c r="A277" s="11"/>
      <c r="B277" s="11"/>
      <c r="C277" s="11"/>
      <c r="D277" s="11"/>
      <c r="E277" s="41" t="s">
        <v>81</v>
      </c>
      <c r="F277" s="42">
        <f>(J277*I277)+(I278*J278)</f>
        <v>0.052</v>
      </c>
      <c r="G277" s="42">
        <v>0.4</v>
      </c>
      <c r="H277" s="43" t="s">
        <v>82</v>
      </c>
      <c r="I277" s="44">
        <v>0.0</v>
      </c>
      <c r="J277" s="46">
        <v>0.6</v>
      </c>
      <c r="K277" s="11"/>
    </row>
    <row r="278">
      <c r="A278" s="15"/>
      <c r="B278" s="15"/>
      <c r="C278" s="15"/>
      <c r="D278" s="15"/>
      <c r="E278" s="15"/>
      <c r="F278" s="15"/>
      <c r="G278" s="15"/>
      <c r="H278" s="43" t="s">
        <v>83</v>
      </c>
      <c r="I278" s="44">
        <v>0.13</v>
      </c>
      <c r="J278" s="46">
        <v>0.4</v>
      </c>
      <c r="K278" s="15"/>
    </row>
    <row r="281">
      <c r="A281" s="2" t="s">
        <v>0</v>
      </c>
      <c r="B281" s="2" t="s">
        <v>1</v>
      </c>
      <c r="C281" s="2" t="s">
        <v>2</v>
      </c>
      <c r="D281" s="2" t="s">
        <v>3</v>
      </c>
      <c r="E281" s="2" t="s">
        <v>4</v>
      </c>
      <c r="F281" s="2" t="s">
        <v>5</v>
      </c>
      <c r="G281" s="2" t="s">
        <v>6</v>
      </c>
      <c r="H281" s="3" t="s">
        <v>7</v>
      </c>
      <c r="I281" s="2" t="s">
        <v>8</v>
      </c>
      <c r="J281" s="2" t="s">
        <v>9</v>
      </c>
      <c r="K281" s="2" t="s">
        <v>10</v>
      </c>
    </row>
    <row r="282">
      <c r="A282" s="4" t="s">
        <v>35</v>
      </c>
      <c r="B282" s="5" t="s">
        <v>12</v>
      </c>
      <c r="C282" s="6">
        <f>(G282*F282)+(G286*F286)+(G288*F288)+(G291*F291)</f>
        <v>0.3658905</v>
      </c>
      <c r="D282" s="6">
        <v>0.3</v>
      </c>
      <c r="E282" s="5" t="s">
        <v>13</v>
      </c>
      <c r="F282" s="6">
        <f>(J282*I282)+(J283*I283)+(J284*I284)+(J285*I285)</f>
        <v>0.61</v>
      </c>
      <c r="G282" s="6">
        <v>0.3</v>
      </c>
      <c r="H282" s="7" t="s">
        <v>14</v>
      </c>
      <c r="I282" s="8">
        <v>0.71</v>
      </c>
      <c r="J282" s="9">
        <v>0.15</v>
      </c>
      <c r="K282" s="10">
        <f>(C282*D282)+(C293*D293)+(C304*D304)+(C308*D308)+(C315*D315)</f>
        <v>0.3417334</v>
      </c>
    </row>
    <row r="283">
      <c r="A283" s="11"/>
      <c r="B283" s="11"/>
      <c r="C283" s="11"/>
      <c r="D283" s="11"/>
      <c r="E283" s="11"/>
      <c r="F283" s="11"/>
      <c r="G283" s="11"/>
      <c r="H283" s="7" t="s">
        <v>15</v>
      </c>
      <c r="I283" s="8">
        <v>0.17</v>
      </c>
      <c r="J283" s="9">
        <v>0.5</v>
      </c>
      <c r="K283" s="11"/>
    </row>
    <row r="284">
      <c r="A284" s="11"/>
      <c r="B284" s="11"/>
      <c r="C284" s="11"/>
      <c r="D284" s="11"/>
      <c r="E284" s="11"/>
      <c r="F284" s="11"/>
      <c r="G284" s="11"/>
      <c r="H284" s="7" t="s">
        <v>18</v>
      </c>
      <c r="I284" s="13">
        <f>2.35</f>
        <v>2.35</v>
      </c>
      <c r="J284" s="9">
        <v>0.15</v>
      </c>
      <c r="K284" s="11"/>
    </row>
    <row r="285">
      <c r="A285" s="11"/>
      <c r="B285" s="11"/>
      <c r="C285" s="11"/>
      <c r="D285" s="11"/>
      <c r="E285" s="15"/>
      <c r="F285" s="15"/>
      <c r="G285" s="15"/>
      <c r="H285" s="7" t="s">
        <v>19</v>
      </c>
      <c r="I285" s="8">
        <v>0.33</v>
      </c>
      <c r="J285" s="9">
        <v>0.2</v>
      </c>
      <c r="K285" s="11"/>
    </row>
    <row r="286">
      <c r="A286" s="11"/>
      <c r="B286" s="11"/>
      <c r="C286" s="11"/>
      <c r="D286" s="11"/>
      <c r="E286" s="5" t="s">
        <v>21</v>
      </c>
      <c r="F286" s="6">
        <f>(J286*I286)+(I287*J287)</f>
        <v>0.255</v>
      </c>
      <c r="G286" s="6">
        <v>0.25</v>
      </c>
      <c r="H286" s="7" t="s">
        <v>22</v>
      </c>
      <c r="I286" s="8">
        <f>3/10</f>
        <v>0.3</v>
      </c>
      <c r="J286" s="9">
        <v>0.7</v>
      </c>
      <c r="K286" s="11"/>
    </row>
    <row r="287">
      <c r="A287" s="11"/>
      <c r="B287" s="11"/>
      <c r="C287" s="11"/>
      <c r="D287" s="11"/>
      <c r="E287" s="15"/>
      <c r="F287" s="15"/>
      <c r="G287" s="15"/>
      <c r="H287" s="7" t="s">
        <v>24</v>
      </c>
      <c r="I287" s="8">
        <f>0.6/4</f>
        <v>0.15</v>
      </c>
      <c r="J287" s="9">
        <v>0.3</v>
      </c>
      <c r="K287" s="11"/>
    </row>
    <row r="288">
      <c r="A288" s="11"/>
      <c r="B288" s="11"/>
      <c r="C288" s="11"/>
      <c r="D288" s="11"/>
      <c r="E288" s="5" t="s">
        <v>26</v>
      </c>
      <c r="F288" s="6">
        <f>(J288*I288)+(I289*J289)+(I290*J290)</f>
        <v>0.352135</v>
      </c>
      <c r="G288" s="6">
        <v>0.3</v>
      </c>
      <c r="H288" s="7" t="s">
        <v>27</v>
      </c>
      <c r="I288" s="13">
        <f>20.61/100</f>
        <v>0.2061</v>
      </c>
      <c r="J288" s="9">
        <v>0.35</v>
      </c>
      <c r="K288" s="11"/>
    </row>
    <row r="289">
      <c r="A289" s="11"/>
      <c r="B289" s="11"/>
      <c r="C289" s="11"/>
      <c r="D289" s="11"/>
      <c r="E289" s="11"/>
      <c r="F289" s="11"/>
      <c r="G289" s="11"/>
      <c r="H289" s="7" t="s">
        <v>29</v>
      </c>
      <c r="I289" s="8">
        <f>21/100</f>
        <v>0.21</v>
      </c>
      <c r="J289" s="9">
        <v>0.3</v>
      </c>
      <c r="K289" s="11"/>
    </row>
    <row r="290">
      <c r="A290" s="11"/>
      <c r="B290" s="11"/>
      <c r="C290" s="11"/>
      <c r="D290" s="11"/>
      <c r="E290" s="15"/>
      <c r="F290" s="15"/>
      <c r="G290" s="15"/>
      <c r="H290" s="7" t="s">
        <v>31</v>
      </c>
      <c r="I290" s="8">
        <v>0.62</v>
      </c>
      <c r="J290" s="9">
        <v>0.35</v>
      </c>
      <c r="K290" s="11"/>
    </row>
    <row r="291">
      <c r="A291" s="11"/>
      <c r="B291" s="11"/>
      <c r="C291" s="11"/>
      <c r="D291" s="11"/>
      <c r="E291" s="5" t="s">
        <v>33</v>
      </c>
      <c r="F291" s="6">
        <f>(J291*I291)+(I292*J292)</f>
        <v>0.09</v>
      </c>
      <c r="G291" s="6">
        <v>0.15</v>
      </c>
      <c r="H291" s="7" t="s">
        <v>34</v>
      </c>
      <c r="I291" s="8"/>
      <c r="J291" s="9">
        <v>0.6</v>
      </c>
      <c r="K291" s="11"/>
    </row>
    <row r="292">
      <c r="A292" s="11"/>
      <c r="B292" s="15"/>
      <c r="C292" s="15"/>
      <c r="D292" s="15"/>
      <c r="E292" s="15"/>
      <c r="F292" s="15"/>
      <c r="G292" s="15"/>
      <c r="H292" s="7" t="s">
        <v>36</v>
      </c>
      <c r="I292" s="13">
        <f>0.9/4</f>
        <v>0.225</v>
      </c>
      <c r="J292" s="9">
        <v>0.4</v>
      </c>
      <c r="K292" s="11"/>
    </row>
    <row r="293">
      <c r="A293" s="11"/>
      <c r="B293" s="16" t="s">
        <v>38</v>
      </c>
      <c r="C293" s="17">
        <f>(G293*F293)+(F297*G297)+(F301*G301)</f>
        <v>0.4351875</v>
      </c>
      <c r="D293" s="17">
        <v>0.2</v>
      </c>
      <c r="E293" s="18" t="s">
        <v>39</v>
      </c>
      <c r="F293" s="17">
        <f>(J293*I293)+(J294*I294)+(J295*I295)+(J296*I296)</f>
        <v>0.29775</v>
      </c>
      <c r="G293" s="17">
        <v>0.35</v>
      </c>
      <c r="H293" s="19" t="s">
        <v>40</v>
      </c>
      <c r="I293" s="20">
        <f>4/10</f>
        <v>0.4</v>
      </c>
      <c r="J293" s="21">
        <v>0.3</v>
      </c>
      <c r="K293" s="11"/>
    </row>
    <row r="294">
      <c r="A294" s="11"/>
      <c r="B294" s="11"/>
      <c r="C294" s="11"/>
      <c r="D294" s="11"/>
      <c r="E294" s="11"/>
      <c r="F294" s="11"/>
      <c r="G294" s="11"/>
      <c r="H294" s="19" t="s">
        <v>42</v>
      </c>
      <c r="I294" s="23">
        <f>1.22/4</f>
        <v>0.305</v>
      </c>
      <c r="J294" s="21">
        <v>0.2</v>
      </c>
      <c r="K294" s="11"/>
    </row>
    <row r="295">
      <c r="A295" s="11"/>
      <c r="B295" s="11"/>
      <c r="C295" s="11"/>
      <c r="D295" s="11"/>
      <c r="E295" s="11"/>
      <c r="F295" s="11"/>
      <c r="G295" s="11"/>
      <c r="H295" s="19" t="s">
        <v>44</v>
      </c>
      <c r="I295" s="20">
        <f>1/4</f>
        <v>0.25</v>
      </c>
      <c r="J295" s="21">
        <v>0.2</v>
      </c>
      <c r="K295" s="11"/>
    </row>
    <row r="296">
      <c r="A296" s="11"/>
      <c r="B296" s="11"/>
      <c r="C296" s="11"/>
      <c r="D296" s="11"/>
      <c r="E296" s="15"/>
      <c r="F296" s="15"/>
      <c r="G296" s="15"/>
      <c r="H296" s="19" t="s">
        <v>46</v>
      </c>
      <c r="I296" s="23">
        <f>0.89/4</f>
        <v>0.2225</v>
      </c>
      <c r="J296" s="21">
        <v>0.3</v>
      </c>
      <c r="K296" s="11"/>
    </row>
    <row r="297">
      <c r="A297" s="11"/>
      <c r="B297" s="11"/>
      <c r="C297" s="11"/>
      <c r="D297" s="11"/>
      <c r="E297" s="18" t="s">
        <v>48</v>
      </c>
      <c r="F297" s="17">
        <f>(J297*I297)+(J298*I298)+(J299*I299)</f>
        <v>0.5265</v>
      </c>
      <c r="G297" s="17">
        <v>0.4</v>
      </c>
      <c r="H297" s="19" t="s">
        <v>49</v>
      </c>
      <c r="I297" s="20">
        <v>0.514</v>
      </c>
      <c r="J297" s="21">
        <v>0.5</v>
      </c>
      <c r="K297" s="11"/>
    </row>
    <row r="298">
      <c r="A298" s="11"/>
      <c r="B298" s="11"/>
      <c r="C298" s="11"/>
      <c r="D298" s="11"/>
      <c r="E298" s="11"/>
      <c r="F298" s="11"/>
      <c r="G298" s="11"/>
      <c r="H298" s="19" t="s">
        <v>51</v>
      </c>
      <c r="I298" s="20">
        <v>0.58</v>
      </c>
      <c r="J298" s="21">
        <v>0.3</v>
      </c>
      <c r="K298" s="11"/>
    </row>
    <row r="299">
      <c r="A299" s="11"/>
      <c r="B299" s="11"/>
      <c r="C299" s="11"/>
      <c r="D299" s="11"/>
      <c r="E299" s="11"/>
      <c r="F299" s="11"/>
      <c r="G299" s="11"/>
      <c r="H299" s="25" t="s">
        <v>53</v>
      </c>
      <c r="I299" s="47">
        <f>1.91/4</f>
        <v>0.4775</v>
      </c>
      <c r="J299" s="17">
        <v>0.2</v>
      </c>
      <c r="K299" s="11"/>
    </row>
    <row r="300">
      <c r="A300" s="11"/>
      <c r="B300" s="11"/>
      <c r="C300" s="11"/>
      <c r="D300" s="11"/>
      <c r="E300" s="15"/>
      <c r="F300" s="15"/>
      <c r="G300" s="15"/>
      <c r="H300" s="15"/>
      <c r="I300" s="15"/>
      <c r="J300" s="15"/>
      <c r="K300" s="11"/>
    </row>
    <row r="301">
      <c r="A301" s="11"/>
      <c r="B301" s="11"/>
      <c r="C301" s="11"/>
      <c r="D301" s="11"/>
      <c r="E301" s="18" t="s">
        <v>56</v>
      </c>
      <c r="F301" s="17">
        <f>(J301*I301)+(I302*J302)+(I303*J303)</f>
        <v>0.4815</v>
      </c>
      <c r="G301" s="17">
        <v>0.25</v>
      </c>
      <c r="H301" s="19" t="s">
        <v>57</v>
      </c>
      <c r="I301" s="23">
        <f>(100-33.4)/100</f>
        <v>0.666</v>
      </c>
      <c r="J301" s="21">
        <v>0.25</v>
      </c>
      <c r="K301" s="11"/>
    </row>
    <row r="302">
      <c r="A302" s="11"/>
      <c r="B302" s="11"/>
      <c r="C302" s="11"/>
      <c r="D302" s="11"/>
      <c r="E302" s="11"/>
      <c r="F302" s="11"/>
      <c r="G302" s="11"/>
      <c r="H302" s="19" t="s">
        <v>58</v>
      </c>
      <c r="I302" s="23">
        <f>1.53/4</f>
        <v>0.3825</v>
      </c>
      <c r="J302" s="21">
        <v>0.5</v>
      </c>
      <c r="K302" s="11"/>
    </row>
    <row r="303">
      <c r="A303" s="11"/>
      <c r="B303" s="15"/>
      <c r="C303" s="15"/>
      <c r="D303" s="15"/>
      <c r="E303" s="15"/>
      <c r="F303" s="15"/>
      <c r="G303" s="15"/>
      <c r="H303" s="19" t="s">
        <v>59</v>
      </c>
      <c r="I303" s="23">
        <f>(100-50.5)/100</f>
        <v>0.495</v>
      </c>
      <c r="J303" s="21">
        <v>0.25</v>
      </c>
      <c r="K303" s="11"/>
    </row>
    <row r="304">
      <c r="A304" s="11"/>
      <c r="B304" s="27" t="s">
        <v>60</v>
      </c>
      <c r="C304" s="28">
        <f>(G304*F304)+(F306*G306)</f>
        <v>0.2252</v>
      </c>
      <c r="D304" s="28">
        <v>0.2</v>
      </c>
      <c r="E304" s="29" t="s">
        <v>61</v>
      </c>
      <c r="F304" s="28">
        <f>(J304*I304)+(I305*J305)</f>
        <v>0.256</v>
      </c>
      <c r="G304" s="28">
        <v>0.45</v>
      </c>
      <c r="H304" s="30" t="s">
        <v>62</v>
      </c>
      <c r="I304" s="31">
        <v>0.32</v>
      </c>
      <c r="J304" s="32">
        <v>0.6</v>
      </c>
      <c r="K304" s="11"/>
    </row>
    <row r="305">
      <c r="A305" s="11"/>
      <c r="B305" s="11"/>
      <c r="C305" s="11"/>
      <c r="D305" s="11"/>
      <c r="E305" s="15"/>
      <c r="F305" s="15"/>
      <c r="G305" s="15"/>
      <c r="H305" s="30" t="s">
        <v>63</v>
      </c>
      <c r="I305" s="33">
        <f>0.48/3</f>
        <v>0.16</v>
      </c>
      <c r="J305" s="32">
        <v>0.4</v>
      </c>
      <c r="K305" s="11"/>
    </row>
    <row r="306">
      <c r="A306" s="11"/>
      <c r="B306" s="11"/>
      <c r="C306" s="11"/>
      <c r="D306" s="11"/>
      <c r="E306" s="29" t="s">
        <v>64</v>
      </c>
      <c r="F306" s="28">
        <f>(J306*I306)+(I307*J307)</f>
        <v>0.2</v>
      </c>
      <c r="G306" s="28">
        <v>0.55</v>
      </c>
      <c r="H306" s="30" t="s">
        <v>65</v>
      </c>
      <c r="I306" s="33">
        <f>((4+3+3)/3)/10</f>
        <v>0.3333333333</v>
      </c>
      <c r="J306" s="32">
        <v>0.6</v>
      </c>
      <c r="K306" s="11"/>
    </row>
    <row r="307">
      <c r="A307" s="11"/>
      <c r="B307" s="15"/>
      <c r="C307" s="15"/>
      <c r="D307" s="15"/>
      <c r="E307" s="15"/>
      <c r="F307" s="15"/>
      <c r="G307" s="15"/>
      <c r="H307" s="30" t="s">
        <v>66</v>
      </c>
      <c r="I307" s="31"/>
      <c r="J307" s="32">
        <v>0.4</v>
      </c>
      <c r="K307" s="11"/>
    </row>
    <row r="308">
      <c r="A308" s="11"/>
      <c r="B308" s="34" t="s">
        <v>67</v>
      </c>
      <c r="C308" s="35">
        <f>(F308*G308)+(F312*G312)</f>
        <v>0.49144375</v>
      </c>
      <c r="D308" s="35">
        <v>0.2</v>
      </c>
      <c r="E308" s="36" t="s">
        <v>68</v>
      </c>
      <c r="F308" s="35">
        <f>(J308*I308)+(J309*I309)+(J310*I310)+(J311*I311)</f>
        <v>0.416125</v>
      </c>
      <c r="G308" s="35">
        <v>0.55</v>
      </c>
      <c r="H308" s="37" t="s">
        <v>69</v>
      </c>
      <c r="I308" s="38">
        <v>0.0</v>
      </c>
      <c r="J308" s="39">
        <v>0.35</v>
      </c>
      <c r="K308" s="11"/>
    </row>
    <row r="309">
      <c r="A309" s="11"/>
      <c r="B309" s="11"/>
      <c r="C309" s="11"/>
      <c r="D309" s="11"/>
      <c r="E309" s="11"/>
      <c r="F309" s="11"/>
      <c r="G309" s="11"/>
      <c r="H309" s="37" t="s">
        <v>70</v>
      </c>
      <c r="I309" s="40">
        <f>1.76/4</f>
        <v>0.44</v>
      </c>
      <c r="J309" s="39">
        <v>0.35</v>
      </c>
      <c r="K309" s="11"/>
    </row>
    <row r="310">
      <c r="A310" s="11"/>
      <c r="B310" s="11"/>
      <c r="C310" s="11"/>
      <c r="D310" s="11"/>
      <c r="E310" s="11"/>
      <c r="F310" s="11"/>
      <c r="G310" s="11"/>
      <c r="H310" s="37" t="s">
        <v>71</v>
      </c>
      <c r="I310" s="40">
        <f>2.99/4</f>
        <v>0.7475</v>
      </c>
      <c r="J310" s="39">
        <v>0.15</v>
      </c>
      <c r="K310" s="11"/>
    </row>
    <row r="311">
      <c r="A311" s="11"/>
      <c r="B311" s="11"/>
      <c r="C311" s="11"/>
      <c r="D311" s="11"/>
      <c r="E311" s="15"/>
      <c r="F311" s="15"/>
      <c r="G311" s="15"/>
      <c r="H311" s="37" t="s">
        <v>72</v>
      </c>
      <c r="I311" s="38">
        <v>1.0</v>
      </c>
      <c r="J311" s="39">
        <v>0.15</v>
      </c>
      <c r="K311" s="11"/>
    </row>
    <row r="312">
      <c r="A312" s="11"/>
      <c r="B312" s="11"/>
      <c r="C312" s="11"/>
      <c r="D312" s="11"/>
      <c r="E312" s="34" t="s">
        <v>73</v>
      </c>
      <c r="F312" s="35">
        <f>(J312*I312)+(I313*J313)+(I314*J314)</f>
        <v>0.5835</v>
      </c>
      <c r="G312" s="35">
        <v>0.45</v>
      </c>
      <c r="H312" s="37" t="s">
        <v>74</v>
      </c>
      <c r="I312" s="38">
        <f>3.44/4</f>
        <v>0.86</v>
      </c>
      <c r="J312" s="39">
        <v>0.3</v>
      </c>
      <c r="K312" s="11"/>
    </row>
    <row r="313">
      <c r="A313" s="11"/>
      <c r="B313" s="11"/>
      <c r="C313" s="11"/>
      <c r="D313" s="11"/>
      <c r="E313" s="11"/>
      <c r="F313" s="11"/>
      <c r="G313" s="11"/>
      <c r="H313" s="37" t="s">
        <v>75</v>
      </c>
      <c r="I313" s="40">
        <f>1.18/4</f>
        <v>0.295</v>
      </c>
      <c r="J313" s="39">
        <v>0.3</v>
      </c>
      <c r="K313" s="11"/>
    </row>
    <row r="314">
      <c r="A314" s="11"/>
      <c r="B314" s="15"/>
      <c r="C314" s="15"/>
      <c r="D314" s="15"/>
      <c r="E314" s="15"/>
      <c r="F314" s="15"/>
      <c r="G314" s="15"/>
      <c r="H314" s="37" t="s">
        <v>76</v>
      </c>
      <c r="I314" s="40">
        <f>2.37/4</f>
        <v>0.5925</v>
      </c>
      <c r="J314" s="39">
        <v>0.4</v>
      </c>
      <c r="K314" s="11"/>
    </row>
    <row r="315">
      <c r="A315" s="11"/>
      <c r="B315" s="41" t="s">
        <v>77</v>
      </c>
      <c r="C315" s="42">
        <f>(F315*G315)+(F317*G317)</f>
        <v>0.016</v>
      </c>
      <c r="D315" s="42">
        <v>0.1</v>
      </c>
      <c r="E315" s="41" t="s">
        <v>78</v>
      </c>
      <c r="F315" s="42">
        <f>(J315*I315)+(I316*J316)</f>
        <v>0</v>
      </c>
      <c r="G315" s="42">
        <v>0.6</v>
      </c>
      <c r="H315" s="43" t="s">
        <v>79</v>
      </c>
      <c r="I315" s="44">
        <v>0.0</v>
      </c>
      <c r="J315" s="45">
        <v>0.5</v>
      </c>
      <c r="K315" s="11"/>
    </row>
    <row r="316">
      <c r="A316" s="11"/>
      <c r="B316" s="11"/>
      <c r="C316" s="11"/>
      <c r="D316" s="11"/>
      <c r="E316" s="15"/>
      <c r="F316" s="15"/>
      <c r="G316" s="15"/>
      <c r="H316" s="43" t="s">
        <v>80</v>
      </c>
      <c r="I316" s="44">
        <v>0.0</v>
      </c>
      <c r="J316" s="45">
        <v>0.5</v>
      </c>
      <c r="K316" s="11"/>
    </row>
    <row r="317">
      <c r="A317" s="11"/>
      <c r="B317" s="11"/>
      <c r="C317" s="11"/>
      <c r="D317" s="11"/>
      <c r="E317" s="41" t="s">
        <v>81</v>
      </c>
      <c r="F317" s="42">
        <f>(J317*I317)+(I318*J318)</f>
        <v>0.04</v>
      </c>
      <c r="G317" s="42">
        <v>0.4</v>
      </c>
      <c r="H317" s="43" t="s">
        <v>82</v>
      </c>
      <c r="I317" s="44">
        <v>0.0</v>
      </c>
      <c r="J317" s="46">
        <v>0.6</v>
      </c>
      <c r="K317" s="11"/>
    </row>
    <row r="318">
      <c r="A318" s="15"/>
      <c r="B318" s="15"/>
      <c r="C318" s="15"/>
      <c r="D318" s="15"/>
      <c r="E318" s="15"/>
      <c r="F318" s="15"/>
      <c r="G318" s="15"/>
      <c r="H318" s="43" t="s">
        <v>83</v>
      </c>
      <c r="I318" s="44">
        <v>0.1</v>
      </c>
      <c r="J318" s="46">
        <v>0.4</v>
      </c>
      <c r="K318" s="15"/>
    </row>
    <row r="321">
      <c r="A321" s="2" t="s">
        <v>0</v>
      </c>
      <c r="B321" s="2" t="s">
        <v>1</v>
      </c>
      <c r="C321" s="2" t="s">
        <v>2</v>
      </c>
      <c r="D321" s="2" t="s">
        <v>3</v>
      </c>
      <c r="E321" s="2" t="s">
        <v>4</v>
      </c>
      <c r="F321" s="2" t="s">
        <v>5</v>
      </c>
      <c r="G321" s="2" t="s">
        <v>6</v>
      </c>
      <c r="H321" s="3" t="s">
        <v>7</v>
      </c>
      <c r="I321" s="2" t="s">
        <v>8</v>
      </c>
      <c r="J321" s="2" t="s">
        <v>9</v>
      </c>
      <c r="K321" s="2" t="s">
        <v>10</v>
      </c>
    </row>
    <row r="322">
      <c r="A322" s="4" t="s">
        <v>37</v>
      </c>
      <c r="B322" s="5" t="s">
        <v>12</v>
      </c>
      <c r="C322" s="6">
        <f>(G322*F322)+(G326*F326)+(G328*F328)+(G331*F331)</f>
        <v>0.540825</v>
      </c>
      <c r="D322" s="6">
        <v>0.3</v>
      </c>
      <c r="E322" s="5" t="s">
        <v>13</v>
      </c>
      <c r="F322" s="6">
        <f>(J322*I322)+(J323*I323)+(J324*I324)+(J325*I325)</f>
        <v>0.51335</v>
      </c>
      <c r="G322" s="6">
        <v>0.3</v>
      </c>
      <c r="H322" s="7" t="s">
        <v>14</v>
      </c>
      <c r="I322" s="8">
        <v>0.69</v>
      </c>
      <c r="J322" s="9">
        <v>0.15</v>
      </c>
      <c r="K322" s="10">
        <f>(C322*D322)+(C333*D333)+(C344*D344)+(C348*D348)+(C355*D355)</f>
        <v>0.5840325</v>
      </c>
    </row>
    <row r="323">
      <c r="A323" s="11"/>
      <c r="B323" s="11"/>
      <c r="C323" s="11"/>
      <c r="D323" s="11"/>
      <c r="E323" s="11"/>
      <c r="F323" s="11"/>
      <c r="G323" s="11"/>
      <c r="H323" s="7" t="s">
        <v>15</v>
      </c>
      <c r="I323" s="8">
        <v>0.36</v>
      </c>
      <c r="J323" s="9">
        <v>0.5</v>
      </c>
      <c r="K323" s="11"/>
    </row>
    <row r="324">
      <c r="A324" s="11"/>
      <c r="B324" s="11"/>
      <c r="C324" s="11"/>
      <c r="D324" s="11"/>
      <c r="E324" s="11"/>
      <c r="F324" s="11"/>
      <c r="G324" s="11"/>
      <c r="H324" s="7" t="s">
        <v>18</v>
      </c>
      <c r="I324" s="13">
        <f>5.59/10</f>
        <v>0.559</v>
      </c>
      <c r="J324" s="9">
        <v>0.15</v>
      </c>
      <c r="K324" s="11"/>
    </row>
    <row r="325">
      <c r="A325" s="11"/>
      <c r="B325" s="11"/>
      <c r="C325" s="11"/>
      <c r="D325" s="11"/>
      <c r="E325" s="15"/>
      <c r="F325" s="15"/>
      <c r="G325" s="15"/>
      <c r="H325" s="7" t="s">
        <v>19</v>
      </c>
      <c r="I325" s="8">
        <v>0.73</v>
      </c>
      <c r="J325" s="9">
        <v>0.2</v>
      </c>
      <c r="K325" s="11"/>
    </row>
    <row r="326">
      <c r="A326" s="11"/>
      <c r="B326" s="11"/>
      <c r="C326" s="11"/>
      <c r="D326" s="11"/>
      <c r="E326" s="5" t="s">
        <v>21</v>
      </c>
      <c r="F326" s="6">
        <f>(J326*I326)+(I327*J327)</f>
        <v>0.66375</v>
      </c>
      <c r="G326" s="6">
        <v>0.25</v>
      </c>
      <c r="H326" s="7" t="s">
        <v>22</v>
      </c>
      <c r="I326" s="8">
        <f>6/10</f>
        <v>0.6</v>
      </c>
      <c r="J326" s="9">
        <v>0.7</v>
      </c>
      <c r="K326" s="11"/>
    </row>
    <row r="327">
      <c r="A327" s="11"/>
      <c r="B327" s="11"/>
      <c r="C327" s="11"/>
      <c r="D327" s="11"/>
      <c r="E327" s="15"/>
      <c r="F327" s="15"/>
      <c r="G327" s="15"/>
      <c r="H327" s="7" t="s">
        <v>24</v>
      </c>
      <c r="I327" s="13">
        <f>3.25/4</f>
        <v>0.8125</v>
      </c>
      <c r="J327" s="9">
        <v>0.3</v>
      </c>
      <c r="K327" s="11"/>
    </row>
    <row r="328">
      <c r="A328" s="11"/>
      <c r="B328" s="11"/>
      <c r="C328" s="11"/>
      <c r="D328" s="11"/>
      <c r="E328" s="5" t="s">
        <v>26</v>
      </c>
      <c r="F328" s="6">
        <f>(J328*I328)+(I329*J329)+(I330*J330)</f>
        <v>0.478775</v>
      </c>
      <c r="G328" s="6">
        <v>0.3</v>
      </c>
      <c r="H328" s="7" t="s">
        <v>27</v>
      </c>
      <c r="I328" s="13">
        <f>26.65/100</f>
        <v>0.2665</v>
      </c>
      <c r="J328" s="9">
        <v>0.35</v>
      </c>
      <c r="K328" s="11"/>
    </row>
    <row r="329">
      <c r="A329" s="11"/>
      <c r="B329" s="11"/>
      <c r="C329" s="11"/>
      <c r="D329" s="11"/>
      <c r="E329" s="11"/>
      <c r="F329" s="11"/>
      <c r="G329" s="11"/>
      <c r="H329" s="7" t="s">
        <v>29</v>
      </c>
      <c r="I329" s="8">
        <f>27/100</f>
        <v>0.27</v>
      </c>
      <c r="J329" s="9">
        <v>0.3</v>
      </c>
      <c r="K329" s="11"/>
    </row>
    <row r="330">
      <c r="A330" s="11"/>
      <c r="B330" s="11"/>
      <c r="C330" s="11"/>
      <c r="D330" s="11"/>
      <c r="E330" s="15"/>
      <c r="F330" s="15"/>
      <c r="G330" s="15"/>
      <c r="H330" s="7" t="s">
        <v>31</v>
      </c>
      <c r="I330" s="8">
        <v>0.87</v>
      </c>
      <c r="J330" s="9">
        <v>0.35</v>
      </c>
      <c r="K330" s="11"/>
    </row>
    <row r="331">
      <c r="A331" s="11"/>
      <c r="B331" s="11"/>
      <c r="C331" s="11"/>
      <c r="D331" s="11"/>
      <c r="E331" s="5" t="s">
        <v>33</v>
      </c>
      <c r="F331" s="6">
        <f>(J331*I331)+(I332*J332)</f>
        <v>0.515</v>
      </c>
      <c r="G331" s="6">
        <v>0.15</v>
      </c>
      <c r="H331" s="7" t="s">
        <v>34</v>
      </c>
      <c r="I331" s="8">
        <v>0.46</v>
      </c>
      <c r="J331" s="9">
        <v>0.6</v>
      </c>
      <c r="K331" s="11"/>
    </row>
    <row r="332">
      <c r="A332" s="11"/>
      <c r="B332" s="15"/>
      <c r="C332" s="15"/>
      <c r="D332" s="15"/>
      <c r="E332" s="15"/>
      <c r="F332" s="15"/>
      <c r="G332" s="15"/>
      <c r="H332" s="7" t="s">
        <v>36</v>
      </c>
      <c r="I332" s="13">
        <f>2.39/4</f>
        <v>0.5975</v>
      </c>
      <c r="J332" s="9">
        <v>0.4</v>
      </c>
      <c r="K332" s="11"/>
    </row>
    <row r="333">
      <c r="A333" s="11"/>
      <c r="B333" s="16" t="s">
        <v>38</v>
      </c>
      <c r="C333" s="17">
        <f>(G333*F333)+(F337*G337)+(F341*G341)</f>
        <v>0.4516</v>
      </c>
      <c r="D333" s="17">
        <v>0.2</v>
      </c>
      <c r="E333" s="18" t="s">
        <v>39</v>
      </c>
      <c r="F333" s="17">
        <f>(J333*I333)+(J334*I334)+(J335*I335)+(J336*I336)</f>
        <v>0.24775</v>
      </c>
      <c r="G333" s="17">
        <v>0.35</v>
      </c>
      <c r="H333" s="19" t="s">
        <v>40</v>
      </c>
      <c r="I333" s="20">
        <f>3/10</f>
        <v>0.3</v>
      </c>
      <c r="J333" s="21">
        <v>0.3</v>
      </c>
      <c r="K333" s="11"/>
    </row>
    <row r="334">
      <c r="A334" s="11"/>
      <c r="B334" s="11"/>
      <c r="C334" s="11"/>
      <c r="D334" s="11"/>
      <c r="E334" s="11"/>
      <c r="F334" s="11"/>
      <c r="G334" s="11"/>
      <c r="H334" s="19" t="s">
        <v>42</v>
      </c>
      <c r="I334" s="23">
        <f>1.37/4</f>
        <v>0.3425</v>
      </c>
      <c r="J334" s="21">
        <v>0.2</v>
      </c>
      <c r="K334" s="11"/>
    </row>
    <row r="335">
      <c r="A335" s="11"/>
      <c r="B335" s="11"/>
      <c r="C335" s="11"/>
      <c r="D335" s="11"/>
      <c r="E335" s="11"/>
      <c r="F335" s="11"/>
      <c r="G335" s="11"/>
      <c r="H335" s="19" t="s">
        <v>44</v>
      </c>
      <c r="I335" s="23">
        <f>0.87/4</f>
        <v>0.2175</v>
      </c>
      <c r="J335" s="21">
        <v>0.2</v>
      </c>
      <c r="K335" s="11"/>
    </row>
    <row r="336">
      <c r="A336" s="11"/>
      <c r="B336" s="11"/>
      <c r="C336" s="11"/>
      <c r="D336" s="11"/>
      <c r="E336" s="15"/>
      <c r="F336" s="15"/>
      <c r="G336" s="15"/>
      <c r="H336" s="19" t="s">
        <v>46</v>
      </c>
      <c r="I336" s="23">
        <f>0.61/4</f>
        <v>0.1525</v>
      </c>
      <c r="J336" s="21">
        <v>0.3</v>
      </c>
      <c r="K336" s="11"/>
    </row>
    <row r="337">
      <c r="A337" s="11"/>
      <c r="B337" s="11"/>
      <c r="C337" s="11"/>
      <c r="D337" s="11"/>
      <c r="E337" s="18" t="s">
        <v>48</v>
      </c>
      <c r="F337" s="17">
        <f>(J337*I337)+(J338*I338)+(J339*I339)</f>
        <v>0.5305</v>
      </c>
      <c r="G337" s="17">
        <v>0.4</v>
      </c>
      <c r="H337" s="19" t="s">
        <v>49</v>
      </c>
      <c r="I337" s="20">
        <v>0.51</v>
      </c>
      <c r="J337" s="21">
        <v>0.5</v>
      </c>
      <c r="K337" s="11"/>
    </row>
    <row r="338">
      <c r="A338" s="11"/>
      <c r="B338" s="11"/>
      <c r="C338" s="11"/>
      <c r="D338" s="11"/>
      <c r="E338" s="11"/>
      <c r="F338" s="11"/>
      <c r="G338" s="11"/>
      <c r="H338" s="19" t="s">
        <v>51</v>
      </c>
      <c r="I338" s="20">
        <v>0.37</v>
      </c>
      <c r="J338" s="21">
        <v>0.3</v>
      </c>
      <c r="K338" s="11"/>
    </row>
    <row r="339">
      <c r="A339" s="11"/>
      <c r="B339" s="11"/>
      <c r="C339" s="11"/>
      <c r="D339" s="11"/>
      <c r="E339" s="11"/>
      <c r="F339" s="11"/>
      <c r="G339" s="11"/>
      <c r="H339" s="25" t="s">
        <v>53</v>
      </c>
      <c r="I339" s="47">
        <f>3.29/4</f>
        <v>0.8225</v>
      </c>
      <c r="J339" s="17">
        <v>0.2</v>
      </c>
      <c r="K339" s="11"/>
    </row>
    <row r="340">
      <c r="A340" s="11"/>
      <c r="B340" s="11"/>
      <c r="C340" s="11"/>
      <c r="D340" s="11"/>
      <c r="E340" s="15"/>
      <c r="F340" s="15"/>
      <c r="G340" s="15"/>
      <c r="H340" s="15"/>
      <c r="I340" s="15"/>
      <c r="J340" s="15"/>
      <c r="K340" s="11"/>
    </row>
    <row r="341">
      <c r="A341" s="11"/>
      <c r="B341" s="11"/>
      <c r="C341" s="11"/>
      <c r="D341" s="11"/>
      <c r="E341" s="18" t="s">
        <v>56</v>
      </c>
      <c r="F341" s="17">
        <f>(J341*I341)+(I342*J342)+(I343*J343)</f>
        <v>0.61075</v>
      </c>
      <c r="G341" s="17">
        <v>0.25</v>
      </c>
      <c r="H341" s="19" t="s">
        <v>97</v>
      </c>
      <c r="I341" s="23">
        <f>(100-35.3)/100</f>
        <v>0.647</v>
      </c>
      <c r="J341" s="21">
        <v>0.25</v>
      </c>
      <c r="K341" s="11"/>
    </row>
    <row r="342">
      <c r="A342" s="11"/>
      <c r="B342" s="11"/>
      <c r="C342" s="11"/>
      <c r="D342" s="11"/>
      <c r="E342" s="11"/>
      <c r="F342" s="11"/>
      <c r="G342" s="11"/>
      <c r="H342" s="19" t="s">
        <v>58</v>
      </c>
      <c r="I342" s="23">
        <f>2.61/4</f>
        <v>0.6525</v>
      </c>
      <c r="J342" s="21">
        <v>0.5</v>
      </c>
      <c r="K342" s="11"/>
    </row>
    <row r="343">
      <c r="A343" s="11"/>
      <c r="B343" s="15"/>
      <c r="C343" s="15"/>
      <c r="D343" s="15"/>
      <c r="E343" s="15"/>
      <c r="F343" s="15"/>
      <c r="G343" s="15"/>
      <c r="H343" s="19" t="s">
        <v>98</v>
      </c>
      <c r="I343" s="23">
        <f>(100-50.9)/100</f>
        <v>0.491</v>
      </c>
      <c r="J343" s="21">
        <v>0.25</v>
      </c>
      <c r="K343" s="11"/>
    </row>
    <row r="344">
      <c r="A344" s="11"/>
      <c r="B344" s="27" t="s">
        <v>60</v>
      </c>
      <c r="C344" s="28">
        <f>(G344*F344)+(F346*G346)</f>
        <v>0.6513</v>
      </c>
      <c r="D344" s="28">
        <v>0.2</v>
      </c>
      <c r="E344" s="29" t="s">
        <v>61</v>
      </c>
      <c r="F344" s="28">
        <f>(J344*I344)+(I345*J345)</f>
        <v>0.7873333333</v>
      </c>
      <c r="G344" s="28">
        <v>0.45</v>
      </c>
      <c r="H344" s="30" t="s">
        <v>62</v>
      </c>
      <c r="I344" s="31">
        <v>0.81</v>
      </c>
      <c r="J344" s="32">
        <v>0.6</v>
      </c>
      <c r="K344" s="11"/>
    </row>
    <row r="345">
      <c r="A345" s="11"/>
      <c r="B345" s="11"/>
      <c r="C345" s="11"/>
      <c r="D345" s="11"/>
      <c r="E345" s="15"/>
      <c r="F345" s="15"/>
      <c r="G345" s="15"/>
      <c r="H345" s="30" t="s">
        <v>63</v>
      </c>
      <c r="I345" s="33">
        <f>2.26/3</f>
        <v>0.7533333333</v>
      </c>
      <c r="J345" s="32">
        <v>0.4</v>
      </c>
      <c r="K345" s="11"/>
    </row>
    <row r="346">
      <c r="A346" s="11"/>
      <c r="B346" s="11"/>
      <c r="C346" s="11"/>
      <c r="D346" s="11"/>
      <c r="E346" s="29" t="s">
        <v>64</v>
      </c>
      <c r="F346" s="28">
        <f>(J346*I346)+(I347*J347)</f>
        <v>0.54</v>
      </c>
      <c r="G346" s="28">
        <v>0.55</v>
      </c>
      <c r="H346" s="30" t="s">
        <v>65</v>
      </c>
      <c r="I346" s="33">
        <f>((5+4+4)/3)/10</f>
        <v>0.4333333333</v>
      </c>
      <c r="J346" s="32">
        <v>0.6</v>
      </c>
      <c r="K346" s="11"/>
    </row>
    <row r="347">
      <c r="A347" s="11"/>
      <c r="B347" s="15"/>
      <c r="C347" s="15"/>
      <c r="D347" s="15"/>
      <c r="E347" s="15"/>
      <c r="F347" s="15"/>
      <c r="G347" s="15"/>
      <c r="H347" s="30" t="s">
        <v>95</v>
      </c>
      <c r="I347" s="31">
        <f>7/10</f>
        <v>0.7</v>
      </c>
      <c r="J347" s="32">
        <v>0.4</v>
      </c>
      <c r="K347" s="11"/>
    </row>
    <row r="348">
      <c r="A348" s="11"/>
      <c r="B348" s="34" t="s">
        <v>67</v>
      </c>
      <c r="C348" s="35">
        <f>(F348*G348)+(F352*G352)</f>
        <v>0.783225</v>
      </c>
      <c r="D348" s="35">
        <v>0.2</v>
      </c>
      <c r="E348" s="36" t="s">
        <v>68</v>
      </c>
      <c r="F348" s="35">
        <f>(J348*I348)+(J349*I349)+(J350*I350)+(J351*I351)</f>
        <v>0.7695</v>
      </c>
      <c r="G348" s="35">
        <v>0.55</v>
      </c>
      <c r="H348" s="37" t="s">
        <v>69</v>
      </c>
      <c r="I348" s="38">
        <v>0.59</v>
      </c>
      <c r="J348" s="39">
        <v>0.35</v>
      </c>
      <c r="K348" s="11"/>
    </row>
    <row r="349">
      <c r="A349" s="11"/>
      <c r="B349" s="11"/>
      <c r="C349" s="11"/>
      <c r="D349" s="11"/>
      <c r="E349" s="11"/>
      <c r="F349" s="11"/>
      <c r="G349" s="11"/>
      <c r="H349" s="37" t="s">
        <v>70</v>
      </c>
      <c r="I349" s="40">
        <f>3.22/4</f>
        <v>0.805</v>
      </c>
      <c r="J349" s="39">
        <v>0.35</v>
      </c>
      <c r="K349" s="11"/>
    </row>
    <row r="350">
      <c r="A350" s="11"/>
      <c r="B350" s="11"/>
      <c r="C350" s="11"/>
      <c r="D350" s="11"/>
      <c r="E350" s="11"/>
      <c r="F350" s="11"/>
      <c r="G350" s="11"/>
      <c r="H350" s="37" t="s">
        <v>71</v>
      </c>
      <c r="I350" s="40">
        <f>3.5/4</f>
        <v>0.875</v>
      </c>
      <c r="J350" s="39">
        <v>0.15</v>
      </c>
      <c r="K350" s="11"/>
    </row>
    <row r="351">
      <c r="A351" s="11"/>
      <c r="B351" s="11"/>
      <c r="C351" s="11"/>
      <c r="D351" s="11"/>
      <c r="E351" s="15"/>
      <c r="F351" s="15"/>
      <c r="G351" s="15"/>
      <c r="H351" s="37" t="s">
        <v>72</v>
      </c>
      <c r="I351" s="38">
        <v>1.0</v>
      </c>
      <c r="J351" s="39">
        <v>0.15</v>
      </c>
      <c r="K351" s="11"/>
    </row>
    <row r="352">
      <c r="A352" s="11"/>
      <c r="B352" s="11"/>
      <c r="C352" s="11"/>
      <c r="D352" s="11"/>
      <c r="E352" s="34" t="s">
        <v>73</v>
      </c>
      <c r="F352" s="35">
        <f>(J352*I352)+(I353*J353)+(I354*J354)</f>
        <v>0.8</v>
      </c>
      <c r="G352" s="35">
        <v>0.45</v>
      </c>
      <c r="H352" s="37" t="s">
        <v>74</v>
      </c>
      <c r="I352" s="40">
        <f>2.63/4</f>
        <v>0.6575</v>
      </c>
      <c r="J352" s="39">
        <v>0.3</v>
      </c>
      <c r="K352" s="11"/>
    </row>
    <row r="353">
      <c r="A353" s="11"/>
      <c r="B353" s="11"/>
      <c r="C353" s="11"/>
      <c r="D353" s="11"/>
      <c r="E353" s="11"/>
      <c r="F353" s="11"/>
      <c r="G353" s="11"/>
      <c r="H353" s="37" t="s">
        <v>75</v>
      </c>
      <c r="I353" s="40">
        <f>3.97/4</f>
        <v>0.9925</v>
      </c>
      <c r="J353" s="39">
        <v>0.3</v>
      </c>
      <c r="K353" s="11"/>
    </row>
    <row r="354">
      <c r="A354" s="11"/>
      <c r="B354" s="15"/>
      <c r="C354" s="15"/>
      <c r="D354" s="15"/>
      <c r="E354" s="15"/>
      <c r="F354" s="15"/>
      <c r="G354" s="15"/>
      <c r="H354" s="37" t="s">
        <v>76</v>
      </c>
      <c r="I354" s="40">
        <f>3.05/4</f>
        <v>0.7625</v>
      </c>
      <c r="J354" s="39">
        <v>0.4</v>
      </c>
      <c r="K354" s="11"/>
    </row>
    <row r="355">
      <c r="A355" s="11"/>
      <c r="B355" s="41" t="s">
        <v>77</v>
      </c>
      <c r="C355" s="42">
        <f>(F355*G355)+(F357*G357)</f>
        <v>0.4456</v>
      </c>
      <c r="D355" s="42">
        <v>0.1</v>
      </c>
      <c r="E355" s="41" t="s">
        <v>78</v>
      </c>
      <c r="F355" s="42">
        <f>(J355*I355)+(I356*J356)</f>
        <v>0.5</v>
      </c>
      <c r="G355" s="42">
        <v>0.6</v>
      </c>
      <c r="H355" s="43" t="s">
        <v>79</v>
      </c>
      <c r="I355" s="44">
        <v>1.0</v>
      </c>
      <c r="J355" s="45">
        <v>0.5</v>
      </c>
      <c r="K355" s="11"/>
    </row>
    <row r="356">
      <c r="A356" s="11"/>
      <c r="B356" s="11"/>
      <c r="C356" s="11"/>
      <c r="D356" s="11"/>
      <c r="E356" s="15"/>
      <c r="F356" s="15"/>
      <c r="G356" s="15"/>
      <c r="H356" s="43" t="s">
        <v>80</v>
      </c>
      <c r="I356" s="44">
        <v>0.0</v>
      </c>
      <c r="J356" s="45">
        <v>0.5</v>
      </c>
      <c r="K356" s="11"/>
    </row>
    <row r="357">
      <c r="A357" s="11"/>
      <c r="B357" s="11"/>
      <c r="C357" s="11"/>
      <c r="D357" s="11"/>
      <c r="E357" s="41" t="s">
        <v>81</v>
      </c>
      <c r="F357" s="42">
        <f>(J357*I357)+(I358*J358)</f>
        <v>0.364</v>
      </c>
      <c r="G357" s="42">
        <v>0.4</v>
      </c>
      <c r="H357" s="43" t="s">
        <v>82</v>
      </c>
      <c r="I357" s="44">
        <v>0.5</v>
      </c>
      <c r="J357" s="46">
        <v>0.6</v>
      </c>
      <c r="K357" s="11"/>
    </row>
    <row r="358">
      <c r="A358" s="15"/>
      <c r="B358" s="15"/>
      <c r="C358" s="15"/>
      <c r="D358" s="15"/>
      <c r="E358" s="15"/>
      <c r="F358" s="15"/>
      <c r="G358" s="15"/>
      <c r="H358" s="43" t="s">
        <v>83</v>
      </c>
      <c r="I358" s="44">
        <v>0.16</v>
      </c>
      <c r="J358" s="46">
        <v>0.4</v>
      </c>
      <c r="K358" s="15"/>
    </row>
    <row r="361">
      <c r="A361" s="2" t="s">
        <v>0</v>
      </c>
      <c r="B361" s="2" t="s">
        <v>1</v>
      </c>
      <c r="C361" s="2" t="s">
        <v>2</v>
      </c>
      <c r="D361" s="2" t="s">
        <v>3</v>
      </c>
      <c r="E361" s="2" t="s">
        <v>4</v>
      </c>
      <c r="F361" s="2" t="s">
        <v>5</v>
      </c>
      <c r="G361" s="2" t="s">
        <v>6</v>
      </c>
      <c r="H361" s="3" t="s">
        <v>7</v>
      </c>
      <c r="I361" s="2" t="s">
        <v>8</v>
      </c>
      <c r="J361" s="2" t="s">
        <v>9</v>
      </c>
      <c r="K361" s="2" t="s">
        <v>10</v>
      </c>
    </row>
    <row r="362">
      <c r="A362" s="4" t="s">
        <v>41</v>
      </c>
      <c r="B362" s="5" t="s">
        <v>12</v>
      </c>
      <c r="C362" s="6">
        <f>(G362*F362)+(G366*F366)+(G368*F368)+(G371*F371)</f>
        <v>0.39481</v>
      </c>
      <c r="D362" s="6">
        <v>0.3</v>
      </c>
      <c r="E362" s="5" t="s">
        <v>13</v>
      </c>
      <c r="F362" s="6">
        <f>(J362*I362)+(J363*I363)+(J364*I364)+(J365*I365)</f>
        <v>0.48195</v>
      </c>
      <c r="G362" s="6">
        <v>0.3</v>
      </c>
      <c r="H362" s="7" t="s">
        <v>14</v>
      </c>
      <c r="I362" s="8">
        <v>0.82</v>
      </c>
      <c r="J362" s="9">
        <v>0.15</v>
      </c>
      <c r="K362" s="10">
        <f>(C362*D362)+(C373*D373)+(C384*D384)+(C388*D388)+(C395*D395)</f>
        <v>0.466508</v>
      </c>
    </row>
    <row r="363">
      <c r="A363" s="11"/>
      <c r="B363" s="11"/>
      <c r="C363" s="11"/>
      <c r="D363" s="11"/>
      <c r="E363" s="11"/>
      <c r="F363" s="11"/>
      <c r="G363" s="11"/>
      <c r="H363" s="7" t="s">
        <v>15</v>
      </c>
      <c r="I363" s="8">
        <v>0.42</v>
      </c>
      <c r="J363" s="9">
        <v>0.5</v>
      </c>
      <c r="K363" s="11"/>
    </row>
    <row r="364">
      <c r="A364" s="11"/>
      <c r="B364" s="11"/>
      <c r="C364" s="11"/>
      <c r="D364" s="11"/>
      <c r="E364" s="11"/>
      <c r="F364" s="11"/>
      <c r="G364" s="11"/>
      <c r="H364" s="7" t="s">
        <v>18</v>
      </c>
      <c r="I364" s="13">
        <f>3.53/10</f>
        <v>0.353</v>
      </c>
      <c r="J364" s="9">
        <v>0.15</v>
      </c>
      <c r="K364" s="11"/>
    </row>
    <row r="365">
      <c r="A365" s="11"/>
      <c r="B365" s="11"/>
      <c r="C365" s="11"/>
      <c r="D365" s="11"/>
      <c r="E365" s="15"/>
      <c r="F365" s="15"/>
      <c r="G365" s="15"/>
      <c r="H365" s="7" t="s">
        <v>19</v>
      </c>
      <c r="I365" s="8">
        <v>0.48</v>
      </c>
      <c r="J365" s="9">
        <v>0.2</v>
      </c>
      <c r="K365" s="11"/>
    </row>
    <row r="366">
      <c r="A366" s="11"/>
      <c r="B366" s="11"/>
      <c r="C366" s="11"/>
      <c r="D366" s="11"/>
      <c r="E366" s="5" t="s">
        <v>21</v>
      </c>
      <c r="F366" s="6">
        <f>(J366*I366)+(I367*J367)</f>
        <v>0.3055</v>
      </c>
      <c r="G366" s="6">
        <v>0.25</v>
      </c>
      <c r="H366" s="7" t="s">
        <v>22</v>
      </c>
      <c r="I366" s="8">
        <f>1/10</f>
        <v>0.1</v>
      </c>
      <c r="J366" s="9">
        <v>0.7</v>
      </c>
      <c r="K366" s="11"/>
    </row>
    <row r="367">
      <c r="A367" s="11"/>
      <c r="B367" s="11"/>
      <c r="C367" s="11"/>
      <c r="D367" s="11"/>
      <c r="E367" s="15"/>
      <c r="F367" s="15"/>
      <c r="G367" s="15"/>
      <c r="H367" s="7" t="s">
        <v>24</v>
      </c>
      <c r="I367" s="13">
        <f>3.14/4</f>
        <v>0.785</v>
      </c>
      <c r="J367" s="9">
        <v>0.3</v>
      </c>
      <c r="K367" s="11"/>
    </row>
    <row r="368">
      <c r="A368" s="11"/>
      <c r="B368" s="11"/>
      <c r="C368" s="11"/>
      <c r="D368" s="11"/>
      <c r="E368" s="5" t="s">
        <v>26</v>
      </c>
      <c r="F368" s="6">
        <f>(J368*I368)+(I369*J369)+(I370*J370)</f>
        <v>0.375</v>
      </c>
      <c r="G368" s="6">
        <v>0.3</v>
      </c>
      <c r="H368" s="7" t="s">
        <v>27</v>
      </c>
      <c r="I368" s="13">
        <f>28/100</f>
        <v>0.28</v>
      </c>
      <c r="J368" s="9">
        <v>0.35</v>
      </c>
      <c r="K368" s="11"/>
    </row>
    <row r="369">
      <c r="A369" s="11"/>
      <c r="B369" s="11"/>
      <c r="C369" s="11"/>
      <c r="D369" s="11"/>
      <c r="E369" s="11"/>
      <c r="F369" s="11"/>
      <c r="G369" s="11"/>
      <c r="H369" s="7" t="s">
        <v>29</v>
      </c>
      <c r="I369" s="8">
        <f>27/100</f>
        <v>0.27</v>
      </c>
      <c r="J369" s="9">
        <v>0.3</v>
      </c>
      <c r="K369" s="11"/>
    </row>
    <row r="370">
      <c r="A370" s="11"/>
      <c r="B370" s="11"/>
      <c r="C370" s="11"/>
      <c r="D370" s="11"/>
      <c r="E370" s="15"/>
      <c r="F370" s="15"/>
      <c r="G370" s="15"/>
      <c r="H370" s="7" t="s">
        <v>31</v>
      </c>
      <c r="I370" s="8">
        <v>0.56</v>
      </c>
      <c r="J370" s="9">
        <v>0.35</v>
      </c>
      <c r="K370" s="11"/>
    </row>
    <row r="371">
      <c r="A371" s="11"/>
      <c r="B371" s="11"/>
      <c r="C371" s="11"/>
      <c r="D371" s="11"/>
      <c r="E371" s="5" t="s">
        <v>33</v>
      </c>
      <c r="F371" s="6">
        <f>(J371*I371)+(I372*J372)</f>
        <v>0.409</v>
      </c>
      <c r="G371" s="6">
        <v>0.15</v>
      </c>
      <c r="H371" s="7" t="s">
        <v>34</v>
      </c>
      <c r="I371" s="8">
        <v>0.43</v>
      </c>
      <c r="J371" s="9">
        <v>0.6</v>
      </c>
      <c r="K371" s="11"/>
    </row>
    <row r="372">
      <c r="A372" s="11"/>
      <c r="B372" s="15"/>
      <c r="C372" s="15"/>
      <c r="D372" s="15"/>
      <c r="E372" s="15"/>
      <c r="F372" s="15"/>
      <c r="G372" s="15"/>
      <c r="H372" s="7" t="s">
        <v>36</v>
      </c>
      <c r="I372" s="13">
        <f>1.51/4</f>
        <v>0.3775</v>
      </c>
      <c r="J372" s="9">
        <v>0.4</v>
      </c>
      <c r="K372" s="11"/>
    </row>
    <row r="373">
      <c r="A373" s="11"/>
      <c r="B373" s="16" t="s">
        <v>38</v>
      </c>
      <c r="C373" s="17">
        <f>(G373*F373)+(F377*G377)+(F381*G381)</f>
        <v>0.459275</v>
      </c>
      <c r="D373" s="17">
        <v>0.2</v>
      </c>
      <c r="E373" s="18" t="s">
        <v>39</v>
      </c>
      <c r="F373" s="17">
        <f>(J373*I373)+(J374*I374)+(J375*I375)+(J376*I376)</f>
        <v>0.2345</v>
      </c>
      <c r="G373" s="17">
        <v>0.35</v>
      </c>
      <c r="H373" s="19" t="s">
        <v>40</v>
      </c>
      <c r="I373" s="20">
        <f>4/10</f>
        <v>0.4</v>
      </c>
      <c r="J373" s="21">
        <v>0.3</v>
      </c>
      <c r="K373" s="11"/>
    </row>
    <row r="374">
      <c r="A374" s="11"/>
      <c r="B374" s="11"/>
      <c r="C374" s="11"/>
      <c r="D374" s="11"/>
      <c r="E374" s="11"/>
      <c r="F374" s="11"/>
      <c r="G374" s="11"/>
      <c r="H374" s="19" t="s">
        <v>42</v>
      </c>
      <c r="I374" s="23">
        <f>0.69/4</f>
        <v>0.1725</v>
      </c>
      <c r="J374" s="21">
        <v>0.2</v>
      </c>
      <c r="K374" s="11"/>
    </row>
    <row r="375">
      <c r="A375" s="11"/>
      <c r="B375" s="11"/>
      <c r="C375" s="11"/>
      <c r="D375" s="11"/>
      <c r="E375" s="11"/>
      <c r="F375" s="11"/>
      <c r="G375" s="11"/>
      <c r="H375" s="19" t="s">
        <v>44</v>
      </c>
      <c r="I375" s="20">
        <f>0.52/4</f>
        <v>0.13</v>
      </c>
      <c r="J375" s="21">
        <v>0.2</v>
      </c>
      <c r="K375" s="11"/>
    </row>
    <row r="376">
      <c r="A376" s="11"/>
      <c r="B376" s="11"/>
      <c r="C376" s="11"/>
      <c r="D376" s="11"/>
      <c r="E376" s="15"/>
      <c r="F376" s="15"/>
      <c r="G376" s="15"/>
      <c r="H376" s="19" t="s">
        <v>46</v>
      </c>
      <c r="I376" s="20">
        <f>0.72/4</f>
        <v>0.18</v>
      </c>
      <c r="J376" s="21">
        <v>0.3</v>
      </c>
      <c r="K376" s="11"/>
    </row>
    <row r="377">
      <c r="A377" s="11"/>
      <c r="B377" s="11"/>
      <c r="C377" s="11"/>
      <c r="D377" s="11"/>
      <c r="E377" s="18" t="s">
        <v>48</v>
      </c>
      <c r="F377" s="17">
        <f>(J377*I377)+(J378*I378)+(J379*I379)</f>
        <v>0.523</v>
      </c>
      <c r="G377" s="17">
        <v>0.4</v>
      </c>
      <c r="H377" s="19" t="s">
        <v>49</v>
      </c>
      <c r="I377" s="20">
        <v>0.419</v>
      </c>
      <c r="J377" s="21">
        <v>0.5</v>
      </c>
      <c r="K377" s="11"/>
    </row>
    <row r="378">
      <c r="A378" s="11"/>
      <c r="B378" s="11"/>
      <c r="C378" s="11"/>
      <c r="D378" s="11"/>
      <c r="E378" s="11"/>
      <c r="F378" s="11"/>
      <c r="G378" s="11"/>
      <c r="H378" s="19" t="s">
        <v>51</v>
      </c>
      <c r="I378" s="20">
        <v>0.52</v>
      </c>
      <c r="J378" s="21">
        <v>0.3</v>
      </c>
      <c r="K378" s="11"/>
    </row>
    <row r="379">
      <c r="A379" s="11"/>
      <c r="B379" s="11"/>
      <c r="C379" s="11"/>
      <c r="D379" s="11"/>
      <c r="E379" s="11"/>
      <c r="F379" s="11"/>
      <c r="G379" s="11"/>
      <c r="H379" s="25" t="s">
        <v>53</v>
      </c>
      <c r="I379" s="47">
        <f>3.15/4</f>
        <v>0.7875</v>
      </c>
      <c r="J379" s="17">
        <v>0.2</v>
      </c>
      <c r="K379" s="11"/>
    </row>
    <row r="380">
      <c r="A380" s="11"/>
      <c r="B380" s="11"/>
      <c r="C380" s="11"/>
      <c r="D380" s="11"/>
      <c r="E380" s="15"/>
      <c r="F380" s="15"/>
      <c r="G380" s="15"/>
      <c r="H380" s="15"/>
      <c r="I380" s="15"/>
      <c r="J380" s="15"/>
      <c r="K380" s="11"/>
    </row>
    <row r="381">
      <c r="A381" s="11"/>
      <c r="B381" s="11"/>
      <c r="C381" s="11"/>
      <c r="D381" s="11"/>
      <c r="E381" s="18" t="s">
        <v>56</v>
      </c>
      <c r="F381" s="17">
        <f>(J381*I381)+(I382*J382)+(I383*J383)</f>
        <v>0.672</v>
      </c>
      <c r="G381" s="17">
        <v>0.25</v>
      </c>
      <c r="H381" s="19" t="s">
        <v>57</v>
      </c>
      <c r="I381" s="23">
        <f>(100-35.7)/100</f>
        <v>0.643</v>
      </c>
      <c r="J381" s="21">
        <v>0.25</v>
      </c>
      <c r="K381" s="11"/>
    </row>
    <row r="382">
      <c r="A382" s="11"/>
      <c r="B382" s="11"/>
      <c r="C382" s="11"/>
      <c r="D382" s="11"/>
      <c r="E382" s="11"/>
      <c r="F382" s="11"/>
      <c r="G382" s="11"/>
      <c r="H382" s="19" t="s">
        <v>58</v>
      </c>
      <c r="I382" s="20">
        <f>3/4</f>
        <v>0.75</v>
      </c>
      <c r="J382" s="21">
        <v>0.5</v>
      </c>
      <c r="K382" s="11"/>
    </row>
    <row r="383">
      <c r="A383" s="11"/>
      <c r="B383" s="15"/>
      <c r="C383" s="15"/>
      <c r="D383" s="15"/>
      <c r="E383" s="15"/>
      <c r="F383" s="15"/>
      <c r="G383" s="15"/>
      <c r="H383" s="19" t="s">
        <v>59</v>
      </c>
      <c r="I383" s="23">
        <f>(100-45.5)/100</f>
        <v>0.545</v>
      </c>
      <c r="J383" s="21">
        <v>0.25</v>
      </c>
      <c r="K383" s="11"/>
    </row>
    <row r="384">
      <c r="A384" s="11"/>
      <c r="B384" s="27" t="s">
        <v>60</v>
      </c>
      <c r="C384" s="28">
        <f>(G384*F384)+(F386*G386)</f>
        <v>0.3944</v>
      </c>
      <c r="D384" s="28">
        <v>0.2</v>
      </c>
      <c r="E384" s="29" t="s">
        <v>61</v>
      </c>
      <c r="F384" s="28">
        <f>(J384*I384)+(I385*J385)</f>
        <v>0.632</v>
      </c>
      <c r="G384" s="28">
        <v>0.45</v>
      </c>
      <c r="H384" s="30" t="s">
        <v>62</v>
      </c>
      <c r="I384" s="31">
        <v>0.7</v>
      </c>
      <c r="J384" s="32">
        <v>0.6</v>
      </c>
      <c r="K384" s="11"/>
    </row>
    <row r="385">
      <c r="A385" s="11"/>
      <c r="B385" s="11"/>
      <c r="C385" s="11"/>
      <c r="D385" s="11"/>
      <c r="E385" s="15"/>
      <c r="F385" s="15"/>
      <c r="G385" s="15"/>
      <c r="H385" s="30" t="s">
        <v>63</v>
      </c>
      <c r="I385" s="33">
        <f>1.59/3</f>
        <v>0.53</v>
      </c>
      <c r="J385" s="32">
        <v>0.4</v>
      </c>
      <c r="K385" s="11"/>
    </row>
    <row r="386">
      <c r="A386" s="11"/>
      <c r="B386" s="11"/>
      <c r="C386" s="11"/>
      <c r="D386" s="11"/>
      <c r="E386" s="29" t="s">
        <v>64</v>
      </c>
      <c r="F386" s="28">
        <f>(J386*I386)+(I387*J387)</f>
        <v>0.2</v>
      </c>
      <c r="G386" s="28">
        <v>0.55</v>
      </c>
      <c r="H386" s="30" t="s">
        <v>65</v>
      </c>
      <c r="I386" s="33">
        <f>((4+3+3)/3)/10</f>
        <v>0.3333333333</v>
      </c>
      <c r="J386" s="32">
        <v>0.6</v>
      </c>
      <c r="K386" s="11"/>
    </row>
    <row r="387">
      <c r="A387" s="11"/>
      <c r="B387" s="15"/>
      <c r="C387" s="15"/>
      <c r="D387" s="15"/>
      <c r="E387" s="15"/>
      <c r="F387" s="15"/>
      <c r="G387" s="15"/>
      <c r="H387" s="30" t="s">
        <v>66</v>
      </c>
      <c r="I387" s="31"/>
      <c r="J387" s="32">
        <v>0.4</v>
      </c>
      <c r="K387" s="11"/>
    </row>
    <row r="388">
      <c r="A388" s="11"/>
      <c r="B388" s="34" t="s">
        <v>67</v>
      </c>
      <c r="C388" s="35">
        <f>(F388*G388)+(F392*G392)</f>
        <v>0.61595</v>
      </c>
      <c r="D388" s="35">
        <v>0.2</v>
      </c>
      <c r="E388" s="36" t="s">
        <v>68</v>
      </c>
      <c r="F388" s="35">
        <f>(J388*I388)+(J389*I389)+(J390*I390)+(J391*I391)</f>
        <v>0.485</v>
      </c>
      <c r="G388" s="35">
        <v>0.55</v>
      </c>
      <c r="H388" s="37" t="s">
        <v>69</v>
      </c>
      <c r="I388" s="38">
        <v>0.0</v>
      </c>
      <c r="J388" s="39">
        <v>0.35</v>
      </c>
      <c r="K388" s="11"/>
    </row>
    <row r="389">
      <c r="A389" s="11"/>
      <c r="B389" s="11"/>
      <c r="C389" s="11"/>
      <c r="D389" s="11"/>
      <c r="E389" s="11"/>
      <c r="F389" s="11"/>
      <c r="G389" s="11"/>
      <c r="H389" s="37" t="s">
        <v>102</v>
      </c>
      <c r="I389" s="40">
        <f>2.41/4</f>
        <v>0.6025</v>
      </c>
      <c r="J389" s="39">
        <v>0.35</v>
      </c>
      <c r="K389" s="11"/>
    </row>
    <row r="390">
      <c r="A390" s="11"/>
      <c r="B390" s="11"/>
      <c r="C390" s="11"/>
      <c r="D390" s="11"/>
      <c r="E390" s="11"/>
      <c r="F390" s="11"/>
      <c r="G390" s="11"/>
      <c r="H390" s="37" t="s">
        <v>103</v>
      </c>
      <c r="I390" s="40">
        <f>3.31/4</f>
        <v>0.8275</v>
      </c>
      <c r="J390" s="39">
        <v>0.15</v>
      </c>
      <c r="K390" s="11"/>
    </row>
    <row r="391">
      <c r="A391" s="11"/>
      <c r="B391" s="11"/>
      <c r="C391" s="11"/>
      <c r="D391" s="11"/>
      <c r="E391" s="15"/>
      <c r="F391" s="15"/>
      <c r="G391" s="15"/>
      <c r="H391" s="37" t="s">
        <v>72</v>
      </c>
      <c r="I391" s="38">
        <v>1.0</v>
      </c>
      <c r="J391" s="39">
        <v>0.15</v>
      </c>
      <c r="K391" s="11"/>
    </row>
    <row r="392">
      <c r="A392" s="11"/>
      <c r="B392" s="11"/>
      <c r="C392" s="11"/>
      <c r="D392" s="11"/>
      <c r="E392" s="34" t="s">
        <v>73</v>
      </c>
      <c r="F392" s="35">
        <f>(J392*I392)+(I393*J393)+(I394*J394)</f>
        <v>0.776</v>
      </c>
      <c r="G392" s="35">
        <v>0.45</v>
      </c>
      <c r="H392" s="37" t="s">
        <v>104</v>
      </c>
      <c r="I392" s="40">
        <f>2.45/4</f>
        <v>0.6125</v>
      </c>
      <c r="J392" s="39">
        <v>0.3</v>
      </c>
      <c r="K392" s="11"/>
    </row>
    <row r="393">
      <c r="A393" s="11"/>
      <c r="B393" s="11"/>
      <c r="C393" s="11"/>
      <c r="D393" s="11"/>
      <c r="E393" s="11"/>
      <c r="F393" s="11"/>
      <c r="G393" s="11"/>
      <c r="H393" s="37" t="s">
        <v>105</v>
      </c>
      <c r="I393" s="40">
        <f>2.79/4</f>
        <v>0.6975</v>
      </c>
      <c r="J393" s="39">
        <v>0.3</v>
      </c>
      <c r="K393" s="11"/>
    </row>
    <row r="394">
      <c r="A394" s="11"/>
      <c r="B394" s="15"/>
      <c r="C394" s="15"/>
      <c r="D394" s="15"/>
      <c r="E394" s="15"/>
      <c r="F394" s="15"/>
      <c r="G394" s="15"/>
      <c r="H394" s="37" t="s">
        <v>106</v>
      </c>
      <c r="I394" s="40">
        <f>3.83/4</f>
        <v>0.9575</v>
      </c>
      <c r="J394" s="39">
        <v>0.4</v>
      </c>
      <c r="K394" s="11"/>
    </row>
    <row r="395">
      <c r="A395" s="11"/>
      <c r="B395" s="41" t="s">
        <v>77</v>
      </c>
      <c r="C395" s="42">
        <f>(F395*G395)+(F397*G397)</f>
        <v>0.5414</v>
      </c>
      <c r="D395" s="42">
        <v>0.1</v>
      </c>
      <c r="E395" s="41" t="s">
        <v>78</v>
      </c>
      <c r="F395" s="42">
        <f>(J395*I395)+(I396*J396)</f>
        <v>0.665</v>
      </c>
      <c r="G395" s="42">
        <v>0.6</v>
      </c>
      <c r="H395" s="43" t="s">
        <v>79</v>
      </c>
      <c r="I395" s="44">
        <v>1.0</v>
      </c>
      <c r="J395" s="45">
        <v>0.5</v>
      </c>
      <c r="K395" s="11"/>
    </row>
    <row r="396">
      <c r="A396" s="11"/>
      <c r="B396" s="11"/>
      <c r="C396" s="11"/>
      <c r="D396" s="11"/>
      <c r="E396" s="15"/>
      <c r="F396" s="15"/>
      <c r="G396" s="15"/>
      <c r="H396" s="43" t="s">
        <v>80</v>
      </c>
      <c r="I396" s="44">
        <v>0.33</v>
      </c>
      <c r="J396" s="45">
        <v>0.5</v>
      </c>
      <c r="K396" s="11"/>
    </row>
    <row r="397">
      <c r="A397" s="11"/>
      <c r="B397" s="11"/>
      <c r="C397" s="11"/>
      <c r="D397" s="11"/>
      <c r="E397" s="41" t="s">
        <v>81</v>
      </c>
      <c r="F397" s="42">
        <f>(J397*I397)+(I398*J398)</f>
        <v>0.356</v>
      </c>
      <c r="G397" s="42">
        <v>0.4</v>
      </c>
      <c r="H397" s="43" t="s">
        <v>82</v>
      </c>
      <c r="I397" s="44">
        <v>0.5</v>
      </c>
      <c r="J397" s="46">
        <v>0.6</v>
      </c>
      <c r="K397" s="11"/>
    </row>
    <row r="398">
      <c r="A398" s="15"/>
      <c r="B398" s="15"/>
      <c r="C398" s="15"/>
      <c r="D398" s="15"/>
      <c r="E398" s="15"/>
      <c r="F398" s="15"/>
      <c r="G398" s="15"/>
      <c r="H398" s="43" t="s">
        <v>83</v>
      </c>
      <c r="I398" s="44">
        <v>0.14</v>
      </c>
      <c r="J398" s="46">
        <v>0.4</v>
      </c>
      <c r="K398" s="15"/>
    </row>
    <row r="400">
      <c r="A400" s="48" t="s">
        <v>0</v>
      </c>
      <c r="B400" s="48" t="s">
        <v>1</v>
      </c>
      <c r="C400" s="48" t="s">
        <v>2</v>
      </c>
      <c r="D400" s="48" t="s">
        <v>3</v>
      </c>
      <c r="E400" s="48" t="s">
        <v>4</v>
      </c>
      <c r="F400" s="48" t="s">
        <v>5</v>
      </c>
      <c r="G400" s="48" t="s">
        <v>6</v>
      </c>
      <c r="H400" s="49" t="s">
        <v>7</v>
      </c>
      <c r="I400" s="48" t="s">
        <v>8</v>
      </c>
      <c r="J400" s="48" t="s">
        <v>9</v>
      </c>
      <c r="K400" s="48" t="s">
        <v>10</v>
      </c>
    </row>
    <row r="401">
      <c r="A401" s="50" t="s">
        <v>43</v>
      </c>
      <c r="B401" s="51" t="s">
        <v>12</v>
      </c>
      <c r="C401" s="52">
        <f>(G401*F401)+(G405*F405)+(G407*F407)+(G410*F410)</f>
        <v>0.3164625</v>
      </c>
      <c r="D401" s="52">
        <v>0.3</v>
      </c>
      <c r="E401" s="51" t="s">
        <v>13</v>
      </c>
      <c r="F401" s="52">
        <f>(J401*I401)+(J402*I402)+(J403*I403)+(J404*I404)</f>
        <v>0.2205</v>
      </c>
      <c r="G401" s="52">
        <v>0.3</v>
      </c>
      <c r="H401" s="53" t="s">
        <v>14</v>
      </c>
      <c r="I401" s="54">
        <v>0.45</v>
      </c>
      <c r="J401" s="9">
        <v>0.15</v>
      </c>
      <c r="K401" s="55">
        <f>(C401*D401)+(C412*D412)+(C423*D423)+(C427*D427)+(C434*D434)</f>
        <v>0.3684525</v>
      </c>
    </row>
    <row r="402">
      <c r="A402" s="11"/>
      <c r="B402" s="11"/>
      <c r="C402" s="11"/>
      <c r="D402" s="11"/>
      <c r="E402" s="11"/>
      <c r="F402" s="11"/>
      <c r="G402" s="11"/>
      <c r="H402" s="53" t="s">
        <v>15</v>
      </c>
      <c r="I402" s="54">
        <v>0.12</v>
      </c>
      <c r="J402" s="9">
        <v>0.5</v>
      </c>
      <c r="K402" s="11"/>
    </row>
    <row r="403">
      <c r="A403" s="11"/>
      <c r="B403" s="11"/>
      <c r="C403" s="11"/>
      <c r="D403" s="11"/>
      <c r="E403" s="11"/>
      <c r="F403" s="11"/>
      <c r="G403" s="11"/>
      <c r="H403" s="56" t="s">
        <v>18</v>
      </c>
      <c r="I403" s="57">
        <f>5/10</f>
        <v>0.5</v>
      </c>
      <c r="J403" s="9">
        <v>0.15</v>
      </c>
      <c r="K403" s="11"/>
    </row>
    <row r="404">
      <c r="A404" s="11"/>
      <c r="B404" s="11"/>
      <c r="C404" s="11"/>
      <c r="D404" s="11"/>
      <c r="E404" s="15"/>
      <c r="F404" s="15"/>
      <c r="G404" s="15"/>
      <c r="H404" s="53" t="s">
        <v>19</v>
      </c>
      <c r="I404" s="57">
        <v>0.09</v>
      </c>
      <c r="J404" s="9">
        <v>0.2</v>
      </c>
      <c r="K404" s="11"/>
    </row>
    <row r="405">
      <c r="A405" s="11"/>
      <c r="B405" s="11"/>
      <c r="C405" s="11"/>
      <c r="D405" s="11"/>
      <c r="E405" s="51" t="s">
        <v>21</v>
      </c>
      <c r="F405" s="52">
        <f>(J405*I405)+(I406*J406)</f>
        <v>0.23025</v>
      </c>
      <c r="G405" s="52">
        <v>0.25</v>
      </c>
      <c r="H405" s="53" t="s">
        <v>22</v>
      </c>
      <c r="I405" s="54">
        <f>3/10</f>
        <v>0.3</v>
      </c>
      <c r="J405" s="9">
        <v>0.7</v>
      </c>
      <c r="K405" s="11"/>
    </row>
    <row r="406">
      <c r="A406" s="11"/>
      <c r="B406" s="11"/>
      <c r="C406" s="11"/>
      <c r="D406" s="11"/>
      <c r="E406" s="15"/>
      <c r="F406" s="15"/>
      <c r="G406" s="15"/>
      <c r="H406" s="53" t="s">
        <v>24</v>
      </c>
      <c r="I406" s="58">
        <f>0.27/4</f>
        <v>0.0675</v>
      </c>
      <c r="J406" s="9">
        <v>0.3</v>
      </c>
      <c r="K406" s="11"/>
    </row>
    <row r="407">
      <c r="A407" s="11"/>
      <c r="B407" s="11"/>
      <c r="C407" s="11"/>
      <c r="D407" s="11"/>
      <c r="E407" s="51" t="s">
        <v>26</v>
      </c>
      <c r="F407" s="52">
        <f>(J407*I407)+(I408*J408)+(I409*J409)</f>
        <v>0.4295</v>
      </c>
      <c r="G407" s="52">
        <v>0.3</v>
      </c>
      <c r="H407" s="53" t="s">
        <v>27</v>
      </c>
      <c r="I407" s="57">
        <f>29/100</f>
        <v>0.29</v>
      </c>
      <c r="J407" s="9">
        <v>0.35</v>
      </c>
      <c r="K407" s="11"/>
    </row>
    <row r="408">
      <c r="A408" s="11"/>
      <c r="B408" s="11"/>
      <c r="C408" s="11"/>
      <c r="D408" s="11"/>
      <c r="E408" s="11"/>
      <c r="F408" s="11"/>
      <c r="G408" s="11"/>
      <c r="H408" s="53" t="s">
        <v>29</v>
      </c>
      <c r="I408" s="54">
        <v>0.3</v>
      </c>
      <c r="J408" s="9">
        <v>0.3</v>
      </c>
      <c r="K408" s="11"/>
    </row>
    <row r="409">
      <c r="A409" s="11"/>
      <c r="B409" s="11"/>
      <c r="C409" s="11"/>
      <c r="D409" s="11"/>
      <c r="E409" s="15"/>
      <c r="F409" s="15"/>
      <c r="G409" s="15"/>
      <c r="H409" s="53" t="s">
        <v>31</v>
      </c>
      <c r="I409" s="57">
        <v>0.68</v>
      </c>
      <c r="J409" s="9">
        <v>0.35</v>
      </c>
      <c r="K409" s="11"/>
    </row>
    <row r="410">
      <c r="A410" s="11"/>
      <c r="B410" s="11"/>
      <c r="C410" s="11"/>
      <c r="D410" s="11"/>
      <c r="E410" s="51" t="s">
        <v>33</v>
      </c>
      <c r="F410" s="52">
        <f>(J410*I410)+(I411*J411)</f>
        <v>0.426</v>
      </c>
      <c r="G410" s="52">
        <v>0.15</v>
      </c>
      <c r="H410" s="53" t="s">
        <v>34</v>
      </c>
      <c r="I410" s="54">
        <v>0.29</v>
      </c>
      <c r="J410" s="9">
        <v>0.6</v>
      </c>
      <c r="K410" s="11"/>
    </row>
    <row r="411">
      <c r="A411" s="11"/>
      <c r="B411" s="15"/>
      <c r="C411" s="15"/>
      <c r="D411" s="15"/>
      <c r="E411" s="15"/>
      <c r="F411" s="15"/>
      <c r="G411" s="15"/>
      <c r="H411" s="53" t="s">
        <v>36</v>
      </c>
      <c r="I411" s="58">
        <f>2.52/4</f>
        <v>0.63</v>
      </c>
      <c r="J411" s="9">
        <v>0.4</v>
      </c>
      <c r="K411" s="11"/>
    </row>
    <row r="412">
      <c r="A412" s="11"/>
      <c r="B412" s="59" t="s">
        <v>38</v>
      </c>
      <c r="C412" s="60">
        <f>(G412*F412)+(F416*G416)+(F420*G420)</f>
        <v>0.4493625</v>
      </c>
      <c r="D412" s="60">
        <v>0.2</v>
      </c>
      <c r="E412" s="59" t="s">
        <v>39</v>
      </c>
      <c r="F412" s="60">
        <f>(J412*I412)+(J413*I413)+(J414*I414)+(J415*I415)</f>
        <v>0.2555</v>
      </c>
      <c r="G412" s="60">
        <v>0.35</v>
      </c>
      <c r="H412" s="61" t="s">
        <v>40</v>
      </c>
      <c r="I412" s="62">
        <f>4/10</f>
        <v>0.4</v>
      </c>
      <c r="J412" s="21">
        <v>0.3</v>
      </c>
      <c r="K412" s="11"/>
    </row>
    <row r="413">
      <c r="A413" s="11"/>
      <c r="B413" s="11"/>
      <c r="C413" s="11"/>
      <c r="D413" s="11"/>
      <c r="E413" s="11"/>
      <c r="F413" s="11"/>
      <c r="G413" s="11"/>
      <c r="H413" s="61" t="s">
        <v>42</v>
      </c>
      <c r="I413" s="63">
        <f>0.2/4</f>
        <v>0.05</v>
      </c>
      <c r="J413" s="21">
        <v>0.2</v>
      </c>
      <c r="K413" s="11"/>
    </row>
    <row r="414">
      <c r="A414" s="11"/>
      <c r="B414" s="11"/>
      <c r="C414" s="11"/>
      <c r="D414" s="11"/>
      <c r="E414" s="11"/>
      <c r="F414" s="11"/>
      <c r="G414" s="11"/>
      <c r="H414" s="61" t="s">
        <v>44</v>
      </c>
      <c r="I414" s="62">
        <f>1.28/4</f>
        <v>0.32</v>
      </c>
      <c r="J414" s="21">
        <v>0.2</v>
      </c>
      <c r="K414" s="11"/>
    </row>
    <row r="415">
      <c r="A415" s="11"/>
      <c r="B415" s="11"/>
      <c r="C415" s="11"/>
      <c r="D415" s="11"/>
      <c r="E415" s="15"/>
      <c r="F415" s="15"/>
      <c r="G415" s="15"/>
      <c r="H415" s="64" t="s">
        <v>96</v>
      </c>
      <c r="I415" s="62">
        <f>0.82/4</f>
        <v>0.205</v>
      </c>
      <c r="J415" s="21">
        <v>0.3</v>
      </c>
      <c r="K415" s="11"/>
    </row>
    <row r="416">
      <c r="A416" s="11"/>
      <c r="B416" s="11"/>
      <c r="C416" s="11"/>
      <c r="D416" s="11"/>
      <c r="E416" s="59" t="s">
        <v>48</v>
      </c>
      <c r="F416" s="60">
        <f>(J416*I416)+(J417*I417)+(J418*I418)</f>
        <v>0.605</v>
      </c>
      <c r="G416" s="60">
        <v>0.4</v>
      </c>
      <c r="H416" s="61" t="s">
        <v>49</v>
      </c>
      <c r="I416" s="65">
        <v>0.563</v>
      </c>
      <c r="J416" s="21">
        <v>0.5</v>
      </c>
      <c r="K416" s="11"/>
    </row>
    <row r="417">
      <c r="A417" s="11"/>
      <c r="B417" s="11"/>
      <c r="C417" s="11"/>
      <c r="D417" s="11"/>
      <c r="E417" s="11"/>
      <c r="F417" s="11"/>
      <c r="G417" s="11"/>
      <c r="H417" s="61" t="s">
        <v>51</v>
      </c>
      <c r="I417" s="62">
        <f>(100-30)/100</f>
        <v>0.7</v>
      </c>
      <c r="J417" s="21">
        <v>0.3</v>
      </c>
      <c r="K417" s="11"/>
    </row>
    <row r="418">
      <c r="A418" s="11"/>
      <c r="B418" s="11"/>
      <c r="C418" s="11"/>
      <c r="D418" s="11"/>
      <c r="E418" s="11"/>
      <c r="F418" s="11"/>
      <c r="G418" s="11"/>
      <c r="H418" s="66" t="s">
        <v>53</v>
      </c>
      <c r="I418" s="67">
        <f>2.27/4</f>
        <v>0.5675</v>
      </c>
      <c r="J418" s="17">
        <v>0.2</v>
      </c>
      <c r="K418" s="11"/>
    </row>
    <row r="419">
      <c r="A419" s="11"/>
      <c r="B419" s="11"/>
      <c r="C419" s="11"/>
      <c r="D419" s="11"/>
      <c r="E419" s="15"/>
      <c r="F419" s="15"/>
      <c r="G419" s="15"/>
      <c r="H419" s="15"/>
      <c r="I419" s="15"/>
      <c r="J419" s="15"/>
      <c r="K419" s="11"/>
    </row>
    <row r="420">
      <c r="A420" s="11"/>
      <c r="B420" s="11"/>
      <c r="C420" s="11"/>
      <c r="D420" s="11"/>
      <c r="E420" s="59" t="s">
        <v>56</v>
      </c>
      <c r="F420" s="60">
        <f>(J420*I420)+(I421*J421)+(I422*J422)</f>
        <v>0.47175</v>
      </c>
      <c r="G420" s="60">
        <v>0.25</v>
      </c>
      <c r="H420" s="64" t="s">
        <v>107</v>
      </c>
      <c r="I420" s="63">
        <f>(100-32)/100</f>
        <v>0.68</v>
      </c>
      <c r="J420" s="21">
        <v>0.25</v>
      </c>
      <c r="K420" s="11"/>
    </row>
    <row r="421">
      <c r="A421" s="11"/>
      <c r="B421" s="11"/>
      <c r="C421" s="11"/>
      <c r="D421" s="11"/>
      <c r="E421" s="11"/>
      <c r="F421" s="11"/>
      <c r="G421" s="11"/>
      <c r="H421" s="61" t="s">
        <v>58</v>
      </c>
      <c r="I421" s="62">
        <f>1.05/4</f>
        <v>0.2625</v>
      </c>
      <c r="J421" s="21">
        <v>0.5</v>
      </c>
      <c r="K421" s="11"/>
    </row>
    <row r="422">
      <c r="A422" s="11"/>
      <c r="B422" s="15"/>
      <c r="C422" s="15"/>
      <c r="D422" s="15"/>
      <c r="E422" s="15"/>
      <c r="F422" s="15"/>
      <c r="G422" s="15"/>
      <c r="H422" s="64" t="s">
        <v>108</v>
      </c>
      <c r="I422" s="63">
        <f>(100-31.8)/100</f>
        <v>0.682</v>
      </c>
      <c r="J422" s="21">
        <v>0.25</v>
      </c>
      <c r="K422" s="11"/>
    </row>
    <row r="423">
      <c r="A423" s="11"/>
      <c r="B423" s="68" t="s">
        <v>60</v>
      </c>
      <c r="C423" s="69">
        <f>(G423*F423)+(F425*G425)</f>
        <v>0.3558</v>
      </c>
      <c r="D423" s="69">
        <v>0.2</v>
      </c>
      <c r="E423" s="68" t="s">
        <v>61</v>
      </c>
      <c r="F423" s="69">
        <f>(J423*I423)+(I424*J424)</f>
        <v>0.4973333333</v>
      </c>
      <c r="G423" s="69">
        <v>0.45</v>
      </c>
      <c r="H423" s="70" t="s">
        <v>62</v>
      </c>
      <c r="I423" s="71">
        <v>0.56</v>
      </c>
      <c r="J423" s="32">
        <v>0.6</v>
      </c>
      <c r="K423" s="11"/>
    </row>
    <row r="424">
      <c r="A424" s="11"/>
      <c r="B424" s="11"/>
      <c r="C424" s="11"/>
      <c r="D424" s="11"/>
      <c r="E424" s="15"/>
      <c r="F424" s="15"/>
      <c r="G424" s="15"/>
      <c r="H424" s="70" t="s">
        <v>63</v>
      </c>
      <c r="I424" s="72">
        <f>1.21/3</f>
        <v>0.4033333333</v>
      </c>
      <c r="J424" s="32">
        <v>0.4</v>
      </c>
      <c r="K424" s="11"/>
    </row>
    <row r="425">
      <c r="A425" s="11"/>
      <c r="B425" s="11"/>
      <c r="C425" s="11"/>
      <c r="D425" s="11"/>
      <c r="E425" s="68" t="s">
        <v>64</v>
      </c>
      <c r="F425" s="69">
        <f>(J425*I425)+(I426*J426)</f>
        <v>0.24</v>
      </c>
      <c r="G425" s="69">
        <v>0.55</v>
      </c>
      <c r="H425" s="70" t="s">
        <v>65</v>
      </c>
      <c r="I425" s="73">
        <f>4/10</f>
        <v>0.4</v>
      </c>
      <c r="J425" s="32">
        <v>0.6</v>
      </c>
      <c r="K425" s="11"/>
    </row>
    <row r="426">
      <c r="A426" s="11"/>
      <c r="B426" s="15"/>
      <c r="C426" s="15"/>
      <c r="D426" s="15"/>
      <c r="E426" s="15"/>
      <c r="F426" s="15"/>
      <c r="G426" s="15"/>
      <c r="H426" s="70" t="s">
        <v>66</v>
      </c>
      <c r="I426" s="74"/>
      <c r="J426" s="32">
        <v>0.4</v>
      </c>
      <c r="K426" s="11"/>
    </row>
    <row r="427">
      <c r="A427" s="11"/>
      <c r="B427" s="75" t="s">
        <v>67</v>
      </c>
      <c r="C427" s="76">
        <f>(F427*G427)+(F431*G431)</f>
        <v>0.54440625</v>
      </c>
      <c r="D427" s="76">
        <v>0.2</v>
      </c>
      <c r="E427" s="75" t="s">
        <v>68</v>
      </c>
      <c r="F427" s="76">
        <f>(J427*I427)+(J428*I428)+(J429*I429)+(J430*I430)</f>
        <v>0.503625</v>
      </c>
      <c r="G427" s="76">
        <v>0.55</v>
      </c>
      <c r="H427" s="77" t="s">
        <v>69</v>
      </c>
      <c r="I427" s="78">
        <v>0.29</v>
      </c>
      <c r="J427" s="39">
        <v>0.35</v>
      </c>
      <c r="K427" s="11"/>
    </row>
    <row r="428">
      <c r="A428" s="11"/>
      <c r="B428" s="11"/>
      <c r="C428" s="11"/>
      <c r="D428" s="11"/>
      <c r="E428" s="11"/>
      <c r="F428" s="11"/>
      <c r="G428" s="11"/>
      <c r="H428" s="79" t="s">
        <v>70</v>
      </c>
      <c r="I428" s="80">
        <f>1.96/4</f>
        <v>0.49</v>
      </c>
      <c r="J428" s="39">
        <v>0.35</v>
      </c>
      <c r="K428" s="11"/>
    </row>
    <row r="429">
      <c r="A429" s="11"/>
      <c r="B429" s="11"/>
      <c r="C429" s="11"/>
      <c r="D429" s="11"/>
      <c r="E429" s="11"/>
      <c r="F429" s="11"/>
      <c r="G429" s="11"/>
      <c r="H429" s="79" t="s">
        <v>109</v>
      </c>
      <c r="I429" s="80">
        <f>2.15/4</f>
        <v>0.5375</v>
      </c>
      <c r="J429" s="39">
        <v>0.15</v>
      </c>
      <c r="K429" s="11"/>
    </row>
    <row r="430">
      <c r="A430" s="11"/>
      <c r="B430" s="11"/>
      <c r="C430" s="11"/>
      <c r="D430" s="11"/>
      <c r="E430" s="15"/>
      <c r="F430" s="15"/>
      <c r="G430" s="15"/>
      <c r="H430" s="77" t="s">
        <v>72</v>
      </c>
      <c r="I430" s="78">
        <v>1.0</v>
      </c>
      <c r="J430" s="39">
        <v>0.15</v>
      </c>
      <c r="K430" s="11"/>
    </row>
    <row r="431">
      <c r="A431" s="11"/>
      <c r="B431" s="11"/>
      <c r="C431" s="11"/>
      <c r="D431" s="11"/>
      <c r="E431" s="75" t="s">
        <v>73</v>
      </c>
      <c r="F431" s="76">
        <f>(J431*I431)+(I432*J432)+(I433*J433)</f>
        <v>0.59425</v>
      </c>
      <c r="G431" s="76">
        <v>0.45</v>
      </c>
      <c r="H431" s="79" t="s">
        <v>74</v>
      </c>
      <c r="I431" s="80">
        <f>1.92/4</f>
        <v>0.48</v>
      </c>
      <c r="J431" s="39">
        <v>0.3</v>
      </c>
      <c r="K431" s="11"/>
    </row>
    <row r="432">
      <c r="A432" s="11"/>
      <c r="B432" s="11"/>
      <c r="C432" s="11"/>
      <c r="D432" s="11"/>
      <c r="E432" s="11"/>
      <c r="F432" s="11"/>
      <c r="G432" s="11"/>
      <c r="H432" s="77" t="s">
        <v>105</v>
      </c>
      <c r="I432" s="80">
        <f>2.35/4</f>
        <v>0.5875</v>
      </c>
      <c r="J432" s="39">
        <v>0.3</v>
      </c>
      <c r="K432" s="11"/>
    </row>
    <row r="433">
      <c r="A433" s="11"/>
      <c r="B433" s="15"/>
      <c r="C433" s="15"/>
      <c r="D433" s="15"/>
      <c r="E433" s="15"/>
      <c r="F433" s="15"/>
      <c r="G433" s="15"/>
      <c r="H433" s="77" t="s">
        <v>106</v>
      </c>
      <c r="I433" s="80">
        <f>2.74/4</f>
        <v>0.685</v>
      </c>
      <c r="J433" s="39">
        <v>0.4</v>
      </c>
      <c r="K433" s="11"/>
    </row>
    <row r="434">
      <c r="A434" s="11"/>
      <c r="B434" s="81" t="s">
        <v>77</v>
      </c>
      <c r="C434" s="82">
        <f>(F434*G434)+(F436*G436)</f>
        <v>0.036</v>
      </c>
      <c r="D434" s="82">
        <v>0.1</v>
      </c>
      <c r="E434" s="81" t="s">
        <v>81</v>
      </c>
      <c r="F434" s="82">
        <f>(J436*I436)+(I437*J437)</f>
        <v>0.036</v>
      </c>
      <c r="G434" s="83">
        <v>1.0</v>
      </c>
      <c r="H434" s="84" t="s">
        <v>82</v>
      </c>
      <c r="I434" s="85">
        <v>0.0</v>
      </c>
      <c r="J434" s="82">
        <v>0.6</v>
      </c>
      <c r="K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>
      <c r="A436" s="11"/>
      <c r="B436" s="11"/>
      <c r="C436" s="11"/>
      <c r="D436" s="11"/>
      <c r="E436" s="11"/>
      <c r="F436" s="11"/>
      <c r="G436" s="11"/>
      <c r="H436" s="15"/>
      <c r="I436" s="15"/>
      <c r="J436" s="15"/>
      <c r="K436" s="11"/>
    </row>
    <row r="437">
      <c r="A437" s="15"/>
      <c r="B437" s="15"/>
      <c r="C437" s="15"/>
      <c r="D437" s="15"/>
      <c r="E437" s="15"/>
      <c r="F437" s="15"/>
      <c r="G437" s="15"/>
      <c r="H437" s="86" t="s">
        <v>83</v>
      </c>
      <c r="I437" s="87">
        <f>9/100</f>
        <v>0.09</v>
      </c>
      <c r="J437" s="46">
        <v>0.4</v>
      </c>
      <c r="K437" s="15"/>
    </row>
    <row r="444">
      <c r="A444" s="2" t="s">
        <v>0</v>
      </c>
      <c r="B444" s="2" t="s">
        <v>1</v>
      </c>
      <c r="C444" s="2" t="s">
        <v>2</v>
      </c>
      <c r="D444" s="2" t="s">
        <v>3</v>
      </c>
      <c r="E444" s="2" t="s">
        <v>4</v>
      </c>
      <c r="F444" s="2" t="s">
        <v>5</v>
      </c>
      <c r="G444" s="2" t="s">
        <v>6</v>
      </c>
      <c r="H444" s="3" t="s">
        <v>7</v>
      </c>
      <c r="I444" s="2" t="s">
        <v>8</v>
      </c>
      <c r="J444" s="2" t="s">
        <v>9</v>
      </c>
      <c r="K444" s="2" t="s">
        <v>10</v>
      </c>
    </row>
    <row r="445">
      <c r="A445" s="4" t="s">
        <v>45</v>
      </c>
      <c r="B445" s="5" t="s">
        <v>12</v>
      </c>
      <c r="C445" s="6">
        <f>(G445*F445)+(G449*F449)+(G451*F451)+(G454*F454)</f>
        <v>0.4656085</v>
      </c>
      <c r="D445" s="6">
        <v>0.3</v>
      </c>
      <c r="E445" s="5" t="s">
        <v>13</v>
      </c>
      <c r="F445" s="6">
        <f>(J445*I445)+(J446*I446)+(J447*I447)+(J448*I448)</f>
        <v>0.66015</v>
      </c>
      <c r="G445" s="6">
        <v>0.3</v>
      </c>
      <c r="H445" s="7" t="s">
        <v>14</v>
      </c>
      <c r="I445" s="8">
        <v>0.88</v>
      </c>
      <c r="J445" s="9">
        <v>0.15</v>
      </c>
      <c r="K445" s="10">
        <f>(C445*D445)+(C456*D456)+(C467*D467)+(C471*D471)+(C478*D478)</f>
        <v>0.4356038</v>
      </c>
    </row>
    <row r="446">
      <c r="A446" s="11"/>
      <c r="B446" s="11"/>
      <c r="C446" s="11"/>
      <c r="D446" s="11"/>
      <c r="E446" s="11"/>
      <c r="F446" s="11"/>
      <c r="G446" s="11"/>
      <c r="H446" s="7" t="s">
        <v>15</v>
      </c>
      <c r="I446" s="8">
        <v>0.58</v>
      </c>
      <c r="J446" s="9">
        <v>0.5</v>
      </c>
      <c r="K446" s="11"/>
    </row>
    <row r="447">
      <c r="A447" s="11"/>
      <c r="B447" s="11"/>
      <c r="C447" s="11"/>
      <c r="D447" s="11"/>
      <c r="E447" s="11"/>
      <c r="F447" s="11"/>
      <c r="G447" s="11"/>
      <c r="H447" s="7" t="s">
        <v>18</v>
      </c>
      <c r="I447" s="13">
        <f>4.41/10</f>
        <v>0.441</v>
      </c>
      <c r="J447" s="9">
        <v>0.15</v>
      </c>
      <c r="K447" s="11"/>
    </row>
    <row r="448">
      <c r="A448" s="11"/>
      <c r="B448" s="11"/>
      <c r="C448" s="11"/>
      <c r="D448" s="11"/>
      <c r="E448" s="15"/>
      <c r="F448" s="15"/>
      <c r="G448" s="15"/>
      <c r="H448" s="7" t="s">
        <v>19</v>
      </c>
      <c r="I448" s="8">
        <v>0.86</v>
      </c>
      <c r="J448" s="9">
        <v>0.2</v>
      </c>
      <c r="K448" s="11"/>
    </row>
    <row r="449">
      <c r="A449" s="11"/>
      <c r="B449" s="11"/>
      <c r="C449" s="11"/>
      <c r="D449" s="11"/>
      <c r="E449" s="5" t="s">
        <v>21</v>
      </c>
      <c r="F449" s="6">
        <f>(J449*I449)+(I450*J450)</f>
        <v>0.2245</v>
      </c>
      <c r="G449" s="6">
        <v>0.25</v>
      </c>
      <c r="H449" s="7" t="s">
        <v>22</v>
      </c>
      <c r="I449" s="8">
        <f>1/10</f>
        <v>0.1</v>
      </c>
      <c r="J449" s="9">
        <v>0.7</v>
      </c>
      <c r="K449" s="11"/>
    </row>
    <row r="450">
      <c r="A450" s="11"/>
      <c r="B450" s="11"/>
      <c r="C450" s="11"/>
      <c r="D450" s="11"/>
      <c r="E450" s="15"/>
      <c r="F450" s="15"/>
      <c r="G450" s="15"/>
      <c r="H450" s="7" t="s">
        <v>24</v>
      </c>
      <c r="I450" s="13">
        <f>2.06/4</f>
        <v>0.515</v>
      </c>
      <c r="J450" s="9">
        <v>0.3</v>
      </c>
      <c r="K450" s="11"/>
    </row>
    <row r="451">
      <c r="A451" s="11"/>
      <c r="B451" s="11"/>
      <c r="C451" s="11"/>
      <c r="D451" s="11"/>
      <c r="E451" s="5" t="s">
        <v>26</v>
      </c>
      <c r="F451" s="6">
        <f>(J451*I451)+(I452*J452)+(I453*J453)</f>
        <v>0.472295</v>
      </c>
      <c r="G451" s="6">
        <v>0.3</v>
      </c>
      <c r="H451" s="7" t="s">
        <v>27</v>
      </c>
      <c r="I451" s="13">
        <f>35.37/100</f>
        <v>0.3537</v>
      </c>
      <c r="J451" s="9">
        <v>0.35</v>
      </c>
      <c r="K451" s="11"/>
    </row>
    <row r="452">
      <c r="A452" s="11"/>
      <c r="B452" s="11"/>
      <c r="C452" s="11"/>
      <c r="D452" s="11"/>
      <c r="E452" s="11"/>
      <c r="F452" s="11"/>
      <c r="G452" s="11"/>
      <c r="H452" s="7" t="s">
        <v>29</v>
      </c>
      <c r="I452" s="8">
        <f>24/100</f>
        <v>0.24</v>
      </c>
      <c r="J452" s="9">
        <v>0.3</v>
      </c>
      <c r="K452" s="11"/>
    </row>
    <row r="453">
      <c r="A453" s="11"/>
      <c r="B453" s="11"/>
      <c r="C453" s="11"/>
      <c r="D453" s="11"/>
      <c r="E453" s="15"/>
      <c r="F453" s="15"/>
      <c r="G453" s="15"/>
      <c r="H453" s="7" t="s">
        <v>31</v>
      </c>
      <c r="I453" s="8">
        <v>0.79</v>
      </c>
      <c r="J453" s="9">
        <v>0.35</v>
      </c>
      <c r="K453" s="11"/>
    </row>
    <row r="454">
      <c r="A454" s="11"/>
      <c r="B454" s="11"/>
      <c r="C454" s="11"/>
      <c r="D454" s="11"/>
      <c r="E454" s="5" t="s">
        <v>33</v>
      </c>
      <c r="F454" s="6">
        <f>(J454*I454)+(I455*J455)</f>
        <v>0.465</v>
      </c>
      <c r="G454" s="6">
        <v>0.15</v>
      </c>
      <c r="H454" s="7" t="s">
        <v>34</v>
      </c>
      <c r="I454" s="8">
        <v>0.34</v>
      </c>
      <c r="J454" s="9">
        <v>0.6</v>
      </c>
      <c r="K454" s="11"/>
    </row>
    <row r="455">
      <c r="A455" s="11"/>
      <c r="B455" s="15"/>
      <c r="C455" s="15"/>
      <c r="D455" s="15"/>
      <c r="E455" s="15"/>
      <c r="F455" s="15"/>
      <c r="G455" s="15"/>
      <c r="H455" s="7" t="s">
        <v>36</v>
      </c>
      <c r="I455" s="13">
        <f>2.61/4</f>
        <v>0.6525</v>
      </c>
      <c r="J455" s="9">
        <v>0.4</v>
      </c>
      <c r="K455" s="11"/>
    </row>
    <row r="456">
      <c r="A456" s="11"/>
      <c r="B456" s="16" t="s">
        <v>38</v>
      </c>
      <c r="C456" s="17">
        <f>(G456*F456)+(F460*G460)+(F464*G464)</f>
        <v>0.4380625</v>
      </c>
      <c r="D456" s="17">
        <v>0.2</v>
      </c>
      <c r="E456" s="18" t="s">
        <v>39</v>
      </c>
      <c r="F456" s="17">
        <f>(J456*I456)+(J457*I457)+(J458*I458)+(J459*I459)</f>
        <v>0.247</v>
      </c>
      <c r="G456" s="17">
        <v>0.35</v>
      </c>
      <c r="H456" s="19" t="s">
        <v>40</v>
      </c>
      <c r="I456" s="20">
        <f>3/10</f>
        <v>0.3</v>
      </c>
      <c r="J456" s="21">
        <v>0.3</v>
      </c>
      <c r="K456" s="11"/>
    </row>
    <row r="457">
      <c r="A457" s="11"/>
      <c r="B457" s="11"/>
      <c r="C457" s="11"/>
      <c r="D457" s="11"/>
      <c r="E457" s="11"/>
      <c r="F457" s="11"/>
      <c r="G457" s="11"/>
      <c r="H457" s="19" t="s">
        <v>42</v>
      </c>
      <c r="I457" s="23">
        <f>0.87/4</f>
        <v>0.2175</v>
      </c>
      <c r="J457" s="21">
        <v>0.2</v>
      </c>
      <c r="K457" s="11"/>
    </row>
    <row r="458">
      <c r="A458" s="11"/>
      <c r="B458" s="11"/>
      <c r="C458" s="11"/>
      <c r="D458" s="11"/>
      <c r="E458" s="11"/>
      <c r="F458" s="11"/>
      <c r="G458" s="11"/>
      <c r="H458" s="19" t="s">
        <v>44</v>
      </c>
      <c r="I458" s="23">
        <f>0.77/4</f>
        <v>0.1925</v>
      </c>
      <c r="J458" s="21">
        <v>0.2</v>
      </c>
      <c r="K458" s="11"/>
    </row>
    <row r="459">
      <c r="A459" s="11"/>
      <c r="B459" s="11"/>
      <c r="C459" s="11"/>
      <c r="D459" s="11"/>
      <c r="E459" s="15"/>
      <c r="F459" s="15"/>
      <c r="G459" s="15"/>
      <c r="H459" s="19" t="s">
        <v>46</v>
      </c>
      <c r="I459" s="20">
        <f>1/4</f>
        <v>0.25</v>
      </c>
      <c r="J459" s="21">
        <v>0.3</v>
      </c>
      <c r="K459" s="11"/>
    </row>
    <row r="460">
      <c r="A460" s="11"/>
      <c r="B460" s="11"/>
      <c r="C460" s="11"/>
      <c r="D460" s="11"/>
      <c r="E460" s="18" t="s">
        <v>48</v>
      </c>
      <c r="F460" s="17">
        <f>(J460*I460)+(J461*I461)+(J462*I462)</f>
        <v>0.462</v>
      </c>
      <c r="G460" s="17">
        <v>0.4</v>
      </c>
      <c r="H460" s="19" t="s">
        <v>49</v>
      </c>
      <c r="I460" s="20">
        <v>0.419</v>
      </c>
      <c r="J460" s="21">
        <v>0.5</v>
      </c>
      <c r="K460" s="11"/>
    </row>
    <row r="461">
      <c r="A461" s="11"/>
      <c r="B461" s="11"/>
      <c r="C461" s="11"/>
      <c r="D461" s="11"/>
      <c r="E461" s="11"/>
      <c r="F461" s="11"/>
      <c r="G461" s="11"/>
      <c r="H461" s="19" t="s">
        <v>51</v>
      </c>
      <c r="I461" s="20">
        <v>0.34</v>
      </c>
      <c r="J461" s="21">
        <v>0.3</v>
      </c>
      <c r="K461" s="11"/>
    </row>
    <row r="462">
      <c r="A462" s="11"/>
      <c r="B462" s="11"/>
      <c r="C462" s="11"/>
      <c r="D462" s="11"/>
      <c r="E462" s="11"/>
      <c r="F462" s="11"/>
      <c r="G462" s="11"/>
      <c r="H462" s="25" t="s">
        <v>53</v>
      </c>
      <c r="I462" s="47">
        <f>3.01/4</f>
        <v>0.7525</v>
      </c>
      <c r="J462" s="17">
        <v>0.2</v>
      </c>
      <c r="K462" s="11"/>
    </row>
    <row r="463">
      <c r="A463" s="11"/>
      <c r="B463" s="11"/>
      <c r="C463" s="11"/>
      <c r="D463" s="11"/>
      <c r="E463" s="15"/>
      <c r="F463" s="15"/>
      <c r="G463" s="15"/>
      <c r="H463" s="15"/>
      <c r="I463" s="15"/>
      <c r="J463" s="15"/>
      <c r="K463" s="11"/>
    </row>
    <row r="464">
      <c r="A464" s="11"/>
      <c r="B464" s="11"/>
      <c r="C464" s="11"/>
      <c r="D464" s="11"/>
      <c r="E464" s="18" t="s">
        <v>56</v>
      </c>
      <c r="F464" s="17">
        <f>(J464*I464)+(I465*J465)+(I466*J466)</f>
        <v>0.66725</v>
      </c>
      <c r="G464" s="17">
        <v>0.25</v>
      </c>
      <c r="H464" s="19" t="s">
        <v>57</v>
      </c>
      <c r="I464" s="23">
        <f>(100-32.9)/100</f>
        <v>0.671</v>
      </c>
      <c r="J464" s="21">
        <v>0.25</v>
      </c>
      <c r="K464" s="11"/>
    </row>
    <row r="465">
      <c r="A465" s="11"/>
      <c r="B465" s="11"/>
      <c r="C465" s="11"/>
      <c r="D465" s="11"/>
      <c r="E465" s="11"/>
      <c r="F465" s="11"/>
      <c r="G465" s="11"/>
      <c r="H465" s="19" t="s">
        <v>58</v>
      </c>
      <c r="I465" s="23">
        <f>2.82/4</f>
        <v>0.705</v>
      </c>
      <c r="J465" s="21">
        <v>0.5</v>
      </c>
      <c r="K465" s="11"/>
    </row>
    <row r="466">
      <c r="A466" s="11"/>
      <c r="B466" s="15"/>
      <c r="C466" s="15"/>
      <c r="D466" s="15"/>
      <c r="E466" s="15"/>
      <c r="F466" s="15"/>
      <c r="G466" s="15"/>
      <c r="H466" s="19" t="s">
        <v>59</v>
      </c>
      <c r="I466" s="23">
        <f>(100-41.2)/100</f>
        <v>0.588</v>
      </c>
      <c r="J466" s="21">
        <v>0.25</v>
      </c>
      <c r="K466" s="11"/>
    </row>
    <row r="467">
      <c r="A467" s="11"/>
      <c r="B467" s="27" t="s">
        <v>60</v>
      </c>
      <c r="C467" s="28">
        <f>(G467*F467)+(F469*G469)</f>
        <v>0.4683</v>
      </c>
      <c r="D467" s="28">
        <v>0.2</v>
      </c>
      <c r="E467" s="29" t="s">
        <v>61</v>
      </c>
      <c r="F467" s="28">
        <f>(J467*I467)+(I468*J468)</f>
        <v>0.7473333333</v>
      </c>
      <c r="G467" s="28">
        <v>0.45</v>
      </c>
      <c r="H467" s="30" t="s">
        <v>62</v>
      </c>
      <c r="I467" s="31">
        <v>0.77</v>
      </c>
      <c r="J467" s="32">
        <v>0.6</v>
      </c>
      <c r="K467" s="11"/>
    </row>
    <row r="468">
      <c r="A468" s="11"/>
      <c r="B468" s="11"/>
      <c r="C468" s="11"/>
      <c r="D468" s="11"/>
      <c r="E468" s="15"/>
      <c r="F468" s="15"/>
      <c r="G468" s="15"/>
      <c r="H468" s="30" t="s">
        <v>63</v>
      </c>
      <c r="I468" s="33">
        <f>2.14/3</f>
        <v>0.7133333333</v>
      </c>
      <c r="J468" s="32">
        <v>0.4</v>
      </c>
      <c r="K468" s="11"/>
    </row>
    <row r="469">
      <c r="A469" s="11"/>
      <c r="B469" s="11"/>
      <c r="C469" s="11"/>
      <c r="D469" s="11"/>
      <c r="E469" s="29" t="s">
        <v>64</v>
      </c>
      <c r="F469" s="28">
        <f>(J469*I469)+(I470*J470)</f>
        <v>0.24</v>
      </c>
      <c r="G469" s="28">
        <v>0.55</v>
      </c>
      <c r="H469" s="30" t="s">
        <v>65</v>
      </c>
      <c r="I469" s="31">
        <f>4/10</f>
        <v>0.4</v>
      </c>
      <c r="J469" s="32">
        <v>0.6</v>
      </c>
      <c r="K469" s="11"/>
    </row>
    <row r="470">
      <c r="A470" s="11"/>
      <c r="B470" s="15"/>
      <c r="C470" s="15"/>
      <c r="D470" s="15"/>
      <c r="E470" s="15"/>
      <c r="F470" s="15"/>
      <c r="G470" s="15"/>
      <c r="H470" s="30" t="s">
        <v>66</v>
      </c>
      <c r="I470" s="31"/>
      <c r="J470" s="32">
        <v>0.4</v>
      </c>
      <c r="K470" s="11"/>
    </row>
    <row r="471">
      <c r="A471" s="11"/>
      <c r="B471" s="34" t="s">
        <v>67</v>
      </c>
      <c r="C471" s="35">
        <f>(F471*G471)+(F475*G475)</f>
        <v>0.56604375</v>
      </c>
      <c r="D471" s="35">
        <v>0.2</v>
      </c>
      <c r="E471" s="36" t="s">
        <v>68</v>
      </c>
      <c r="F471" s="35">
        <f>(J471*I471)+(J472*I472)+(J473*I473)+(J474*I474)</f>
        <v>0.523125</v>
      </c>
      <c r="G471" s="35">
        <v>0.55</v>
      </c>
      <c r="H471" s="37" t="s">
        <v>69</v>
      </c>
      <c r="I471" s="38">
        <v>0.0</v>
      </c>
      <c r="J471" s="39">
        <v>0.35</v>
      </c>
      <c r="K471" s="11"/>
    </row>
    <row r="472">
      <c r="A472" s="11"/>
      <c r="B472" s="11"/>
      <c r="C472" s="11"/>
      <c r="D472" s="11"/>
      <c r="E472" s="11"/>
      <c r="F472" s="11"/>
      <c r="G472" s="11"/>
      <c r="H472" s="37" t="s">
        <v>110</v>
      </c>
      <c r="I472" s="40">
        <f>2.64/4</f>
        <v>0.66</v>
      </c>
      <c r="J472" s="39">
        <v>0.35</v>
      </c>
      <c r="K472" s="11"/>
    </row>
    <row r="473">
      <c r="A473" s="11"/>
      <c r="B473" s="11"/>
      <c r="C473" s="11"/>
      <c r="D473" s="11"/>
      <c r="E473" s="11"/>
      <c r="F473" s="11"/>
      <c r="G473" s="11"/>
      <c r="H473" s="37" t="s">
        <v>71</v>
      </c>
      <c r="I473" s="40">
        <f>3.79/4</f>
        <v>0.9475</v>
      </c>
      <c r="J473" s="39">
        <v>0.15</v>
      </c>
      <c r="K473" s="11"/>
    </row>
    <row r="474">
      <c r="A474" s="11"/>
      <c r="B474" s="11"/>
      <c r="C474" s="11"/>
      <c r="D474" s="11"/>
      <c r="E474" s="15"/>
      <c r="F474" s="15"/>
      <c r="G474" s="15"/>
      <c r="H474" s="37" t="s">
        <v>72</v>
      </c>
      <c r="I474" s="38">
        <v>1.0</v>
      </c>
      <c r="J474" s="39">
        <v>0.15</v>
      </c>
      <c r="K474" s="11"/>
    </row>
    <row r="475">
      <c r="A475" s="11"/>
      <c r="B475" s="11"/>
      <c r="C475" s="11"/>
      <c r="D475" s="11"/>
      <c r="E475" s="34" t="s">
        <v>73</v>
      </c>
      <c r="F475" s="35">
        <f>(J475*I475)+(I476*J476)+(I477*J477)</f>
        <v>0.6185</v>
      </c>
      <c r="G475" s="35">
        <v>0.45</v>
      </c>
      <c r="H475" s="37" t="s">
        <v>111</v>
      </c>
      <c r="I475" s="40">
        <f>2.47/4</f>
        <v>0.6175</v>
      </c>
      <c r="J475" s="39">
        <v>0.3</v>
      </c>
      <c r="K475" s="11"/>
    </row>
    <row r="476">
      <c r="A476" s="11"/>
      <c r="B476" s="11"/>
      <c r="C476" s="11"/>
      <c r="D476" s="11"/>
      <c r="E476" s="11"/>
      <c r="F476" s="11"/>
      <c r="G476" s="11"/>
      <c r="H476" s="37" t="s">
        <v>75</v>
      </c>
      <c r="I476" s="40">
        <f>2.79/4</f>
        <v>0.6975</v>
      </c>
      <c r="J476" s="39">
        <v>0.3</v>
      </c>
      <c r="K476" s="11"/>
    </row>
    <row r="477">
      <c r="A477" s="11"/>
      <c r="B477" s="15"/>
      <c r="C477" s="15"/>
      <c r="D477" s="15"/>
      <c r="E477" s="15"/>
      <c r="F477" s="15"/>
      <c r="G477" s="15"/>
      <c r="H477" s="37" t="s">
        <v>112</v>
      </c>
      <c r="I477" s="40">
        <f>2.24/4</f>
        <v>0.56</v>
      </c>
      <c r="J477" s="39">
        <v>0.4</v>
      </c>
      <c r="K477" s="11"/>
    </row>
    <row r="478">
      <c r="A478" s="11"/>
      <c r="B478" s="41" t="s">
        <v>77</v>
      </c>
      <c r="C478" s="42">
        <f>(F478*G478)+(F480*G480)</f>
        <v>0.0144</v>
      </c>
      <c r="D478" s="42">
        <v>0.1</v>
      </c>
      <c r="E478" s="41" t="s">
        <v>78</v>
      </c>
      <c r="F478" s="42">
        <f>(J478*I478)+(I479*J479)</f>
        <v>0</v>
      </c>
      <c r="G478" s="42">
        <v>0.6</v>
      </c>
      <c r="H478" s="43" t="s">
        <v>79</v>
      </c>
      <c r="I478" s="44">
        <v>0.0</v>
      </c>
      <c r="J478" s="45">
        <v>0.5</v>
      </c>
      <c r="K478" s="11"/>
    </row>
    <row r="479">
      <c r="A479" s="11"/>
      <c r="B479" s="11"/>
      <c r="C479" s="11"/>
      <c r="D479" s="11"/>
      <c r="E479" s="15"/>
      <c r="F479" s="15"/>
      <c r="G479" s="15"/>
      <c r="H479" s="43" t="s">
        <v>80</v>
      </c>
      <c r="I479" s="44">
        <v>0.0</v>
      </c>
      <c r="J479" s="45">
        <v>0.5</v>
      </c>
      <c r="K479" s="11"/>
    </row>
    <row r="480">
      <c r="A480" s="11"/>
      <c r="B480" s="11"/>
      <c r="C480" s="11"/>
      <c r="D480" s="11"/>
      <c r="E480" s="41" t="s">
        <v>81</v>
      </c>
      <c r="F480" s="42">
        <f>(J480*I480)+(I481*J481)</f>
        <v>0.036</v>
      </c>
      <c r="G480" s="42">
        <v>0.4</v>
      </c>
      <c r="H480" s="43" t="s">
        <v>82</v>
      </c>
      <c r="I480" s="44">
        <v>0.0</v>
      </c>
      <c r="J480" s="46">
        <v>0.6</v>
      </c>
      <c r="K480" s="11"/>
    </row>
    <row r="481">
      <c r="A481" s="15"/>
      <c r="B481" s="15"/>
      <c r="C481" s="15"/>
      <c r="D481" s="15"/>
      <c r="E481" s="15"/>
      <c r="F481" s="15"/>
      <c r="G481" s="15"/>
      <c r="H481" s="43" t="s">
        <v>83</v>
      </c>
      <c r="I481" s="44">
        <v>0.09</v>
      </c>
      <c r="J481" s="46">
        <v>0.4</v>
      </c>
      <c r="K481" s="15"/>
    </row>
    <row r="484">
      <c r="A484" s="2" t="s">
        <v>0</v>
      </c>
      <c r="B484" s="2" t="s">
        <v>1</v>
      </c>
      <c r="C484" s="2" t="s">
        <v>2</v>
      </c>
      <c r="D484" s="2" t="s">
        <v>3</v>
      </c>
      <c r="E484" s="2" t="s">
        <v>4</v>
      </c>
      <c r="F484" s="2" t="s">
        <v>5</v>
      </c>
      <c r="G484" s="2" t="s">
        <v>6</v>
      </c>
      <c r="H484" s="3" t="s">
        <v>7</v>
      </c>
      <c r="I484" s="2" t="s">
        <v>8</v>
      </c>
      <c r="J484" s="2" t="s">
        <v>9</v>
      </c>
      <c r="K484" s="2" t="s">
        <v>10</v>
      </c>
    </row>
    <row r="485">
      <c r="A485" s="4" t="s">
        <v>47</v>
      </c>
      <c r="B485" s="5" t="s">
        <v>12</v>
      </c>
      <c r="C485" s="6">
        <f>(G485*F485)+(G489*F489)+(G491*F491)+(G494*F494)</f>
        <v>0.485387</v>
      </c>
      <c r="D485" s="6">
        <v>0.3</v>
      </c>
      <c r="E485" s="5" t="s">
        <v>13</v>
      </c>
      <c r="F485" s="6">
        <f>(J485*I485)+(J486*I486)+(J487*I487)+(J488*I488)</f>
        <v>0.49615</v>
      </c>
      <c r="G485" s="6">
        <v>0.3</v>
      </c>
      <c r="H485" s="7" t="s">
        <v>14</v>
      </c>
      <c r="I485" s="8">
        <v>0.74</v>
      </c>
      <c r="J485" s="9">
        <v>0.15</v>
      </c>
      <c r="K485" s="10">
        <f>(C485*D485)+(C496*D496)+(C507*D507)+(C511*D511)+(C518*D518)</f>
        <v>0.4683861</v>
      </c>
    </row>
    <row r="486">
      <c r="A486" s="11"/>
      <c r="B486" s="11"/>
      <c r="C486" s="11"/>
      <c r="D486" s="11"/>
      <c r="E486" s="11"/>
      <c r="F486" s="11"/>
      <c r="G486" s="11"/>
      <c r="H486" s="7" t="s">
        <v>15</v>
      </c>
      <c r="I486" s="8">
        <v>0.29</v>
      </c>
      <c r="J486" s="9">
        <v>0.5</v>
      </c>
      <c r="K486" s="11"/>
    </row>
    <row r="487">
      <c r="A487" s="11"/>
      <c r="B487" s="11"/>
      <c r="C487" s="11"/>
      <c r="D487" s="11"/>
      <c r="E487" s="11"/>
      <c r="F487" s="11"/>
      <c r="G487" s="11"/>
      <c r="H487" s="7" t="s">
        <v>18</v>
      </c>
      <c r="I487" s="13">
        <f>4.41/10</f>
        <v>0.441</v>
      </c>
      <c r="J487" s="9">
        <v>0.15</v>
      </c>
      <c r="K487" s="11"/>
    </row>
    <row r="488">
      <c r="A488" s="11"/>
      <c r="B488" s="11"/>
      <c r="C488" s="11"/>
      <c r="D488" s="11"/>
      <c r="E488" s="15"/>
      <c r="F488" s="15"/>
      <c r="G488" s="15"/>
      <c r="H488" s="7" t="s">
        <v>19</v>
      </c>
      <c r="I488" s="8">
        <v>0.87</v>
      </c>
      <c r="J488" s="9">
        <v>0.2</v>
      </c>
      <c r="K488" s="11"/>
    </row>
    <row r="489">
      <c r="A489" s="11"/>
      <c r="B489" s="11"/>
      <c r="C489" s="11"/>
      <c r="D489" s="11"/>
      <c r="E489" s="5" t="s">
        <v>21</v>
      </c>
      <c r="F489" s="6">
        <f>(J489*I489)+(I490*J490)</f>
        <v>0.47375</v>
      </c>
      <c r="G489" s="6">
        <v>0.25</v>
      </c>
      <c r="H489" s="7" t="s">
        <v>22</v>
      </c>
      <c r="I489" s="8">
        <f>5/10</f>
        <v>0.5</v>
      </c>
      <c r="J489" s="9">
        <v>0.7</v>
      </c>
      <c r="K489" s="11"/>
    </row>
    <row r="490">
      <c r="A490" s="11"/>
      <c r="B490" s="11"/>
      <c r="C490" s="11"/>
      <c r="D490" s="11"/>
      <c r="E490" s="15"/>
      <c r="F490" s="15"/>
      <c r="G490" s="15"/>
      <c r="H490" s="7" t="s">
        <v>24</v>
      </c>
      <c r="I490" s="13">
        <f>1.65/4</f>
        <v>0.4125</v>
      </c>
      <c r="J490" s="9">
        <v>0.3</v>
      </c>
      <c r="K490" s="11"/>
    </row>
    <row r="491">
      <c r="A491" s="11"/>
      <c r="B491" s="11"/>
      <c r="C491" s="11"/>
      <c r="D491" s="11"/>
      <c r="E491" s="5" t="s">
        <v>26</v>
      </c>
      <c r="F491" s="6">
        <f>(J491*I491)+(I492*J492)+(I493*J493)</f>
        <v>0.467515</v>
      </c>
      <c r="G491" s="6">
        <v>0.3</v>
      </c>
      <c r="H491" s="7" t="s">
        <v>27</v>
      </c>
      <c r="I491" s="13">
        <f>25.29/100</f>
        <v>0.2529</v>
      </c>
      <c r="J491" s="9">
        <v>0.35</v>
      </c>
      <c r="K491" s="11"/>
    </row>
    <row r="492">
      <c r="A492" s="11"/>
      <c r="B492" s="11"/>
      <c r="C492" s="11"/>
      <c r="D492" s="11"/>
      <c r="E492" s="11"/>
      <c r="F492" s="11"/>
      <c r="G492" s="11"/>
      <c r="H492" s="7" t="s">
        <v>29</v>
      </c>
      <c r="I492" s="8">
        <f>26/100</f>
        <v>0.26</v>
      </c>
      <c r="J492" s="9">
        <v>0.3</v>
      </c>
      <c r="K492" s="11"/>
    </row>
    <row r="493">
      <c r="A493" s="11"/>
      <c r="B493" s="11"/>
      <c r="C493" s="11"/>
      <c r="D493" s="11"/>
      <c r="E493" s="15"/>
      <c r="F493" s="15"/>
      <c r="G493" s="15"/>
      <c r="H493" s="7" t="s">
        <v>31</v>
      </c>
      <c r="I493" s="8">
        <v>0.86</v>
      </c>
      <c r="J493" s="9">
        <v>0.35</v>
      </c>
      <c r="K493" s="11"/>
    </row>
    <row r="494">
      <c r="A494" s="11"/>
      <c r="B494" s="11"/>
      <c r="C494" s="11"/>
      <c r="D494" s="11"/>
      <c r="E494" s="5" t="s">
        <v>33</v>
      </c>
      <c r="F494" s="6">
        <f>(J494*I494)+(I495*J495)</f>
        <v>0.519</v>
      </c>
      <c r="G494" s="6">
        <v>0.15</v>
      </c>
      <c r="H494" s="7" t="s">
        <v>34</v>
      </c>
      <c r="I494" s="8">
        <v>0.41</v>
      </c>
      <c r="J494" s="9">
        <v>0.6</v>
      </c>
      <c r="K494" s="11"/>
    </row>
    <row r="495">
      <c r="A495" s="11"/>
      <c r="B495" s="15"/>
      <c r="C495" s="15"/>
      <c r="D495" s="15"/>
      <c r="E495" s="15"/>
      <c r="F495" s="15"/>
      <c r="G495" s="15"/>
      <c r="H495" s="7" t="s">
        <v>36</v>
      </c>
      <c r="I495" s="13">
        <f>2.73/4</f>
        <v>0.6825</v>
      </c>
      <c r="J495" s="9">
        <v>0.4</v>
      </c>
      <c r="K495" s="11"/>
    </row>
    <row r="496">
      <c r="A496" s="11"/>
      <c r="B496" s="16" t="s">
        <v>38</v>
      </c>
      <c r="C496" s="17">
        <f>(G496*F496)+(F500*G500)+(F504*G504)</f>
        <v>0.442675</v>
      </c>
      <c r="D496" s="17">
        <v>0.2</v>
      </c>
      <c r="E496" s="18" t="s">
        <v>39</v>
      </c>
      <c r="F496" s="17">
        <f>(J496*I496)+(J497*I497)+(J498*I498)+(J499*I499)</f>
        <v>0.367</v>
      </c>
      <c r="G496" s="17">
        <v>0.35</v>
      </c>
      <c r="H496" s="19" t="s">
        <v>40</v>
      </c>
      <c r="I496" s="20">
        <f>3/10</f>
        <v>0.3</v>
      </c>
      <c r="J496" s="21">
        <v>0.3</v>
      </c>
      <c r="K496" s="11"/>
    </row>
    <row r="497">
      <c r="A497" s="11"/>
      <c r="B497" s="11"/>
      <c r="C497" s="11"/>
      <c r="D497" s="11"/>
      <c r="E497" s="11"/>
      <c r="F497" s="11"/>
      <c r="G497" s="11"/>
      <c r="H497" s="19" t="s">
        <v>42</v>
      </c>
      <c r="I497" s="23">
        <f>1.22/4</f>
        <v>0.305</v>
      </c>
      <c r="J497" s="21">
        <v>0.2</v>
      </c>
      <c r="K497" s="11"/>
    </row>
    <row r="498">
      <c r="A498" s="11"/>
      <c r="B498" s="11"/>
      <c r="C498" s="11"/>
      <c r="D498" s="11"/>
      <c r="E498" s="11"/>
      <c r="F498" s="11"/>
      <c r="G498" s="11"/>
      <c r="H498" s="19" t="s">
        <v>44</v>
      </c>
      <c r="I498" s="20">
        <f>1.32/4</f>
        <v>0.33</v>
      </c>
      <c r="J498" s="21">
        <v>0.2</v>
      </c>
      <c r="K498" s="11"/>
    </row>
    <row r="499">
      <c r="A499" s="11"/>
      <c r="B499" s="11"/>
      <c r="C499" s="11"/>
      <c r="D499" s="11"/>
      <c r="E499" s="15"/>
      <c r="F499" s="15"/>
      <c r="G499" s="15"/>
      <c r="H499" s="19" t="s">
        <v>46</v>
      </c>
      <c r="I499" s="20">
        <f>2/4</f>
        <v>0.5</v>
      </c>
      <c r="J499" s="21">
        <v>0.3</v>
      </c>
      <c r="K499" s="11"/>
    </row>
    <row r="500">
      <c r="A500" s="11"/>
      <c r="B500" s="11"/>
      <c r="C500" s="11"/>
      <c r="D500" s="11"/>
      <c r="E500" s="18" t="s">
        <v>48</v>
      </c>
      <c r="F500" s="17">
        <f>(J500*I500)+(J501*I501)+(J502*I502)</f>
        <v>0.524</v>
      </c>
      <c r="G500" s="17">
        <v>0.4</v>
      </c>
      <c r="H500" s="19" t="s">
        <v>49</v>
      </c>
      <c r="I500" s="20">
        <v>0.56</v>
      </c>
      <c r="J500" s="21">
        <v>0.5</v>
      </c>
      <c r="K500" s="11"/>
    </row>
    <row r="501">
      <c r="A501" s="11"/>
      <c r="B501" s="11"/>
      <c r="C501" s="11"/>
      <c r="D501" s="11"/>
      <c r="E501" s="11"/>
      <c r="F501" s="11"/>
      <c r="G501" s="11"/>
      <c r="H501" s="19" t="s">
        <v>51</v>
      </c>
      <c r="I501" s="20">
        <v>0.3</v>
      </c>
      <c r="J501" s="21">
        <v>0.3</v>
      </c>
      <c r="K501" s="11"/>
    </row>
    <row r="502">
      <c r="A502" s="11"/>
      <c r="B502" s="11"/>
      <c r="C502" s="11"/>
      <c r="D502" s="11"/>
      <c r="E502" s="11"/>
      <c r="F502" s="11"/>
      <c r="G502" s="11"/>
      <c r="H502" s="25" t="s">
        <v>53</v>
      </c>
      <c r="I502" s="47">
        <f>3.08/4</f>
        <v>0.77</v>
      </c>
      <c r="J502" s="17">
        <v>0.2</v>
      </c>
      <c r="K502" s="11"/>
    </row>
    <row r="503">
      <c r="A503" s="11"/>
      <c r="B503" s="11"/>
      <c r="C503" s="11"/>
      <c r="D503" s="11"/>
      <c r="E503" s="15"/>
      <c r="F503" s="15"/>
      <c r="G503" s="15"/>
      <c r="H503" s="15"/>
      <c r="I503" s="15"/>
      <c r="J503" s="15"/>
      <c r="K503" s="11"/>
    </row>
    <row r="504">
      <c r="A504" s="11"/>
      <c r="B504" s="11"/>
      <c r="C504" s="11"/>
      <c r="D504" s="11"/>
      <c r="E504" s="18" t="s">
        <v>56</v>
      </c>
      <c r="F504" s="17">
        <f>(J504*I504)+(I505*J505)+(I506*J506)</f>
        <v>0.4185</v>
      </c>
      <c r="G504" s="17">
        <v>0.25</v>
      </c>
      <c r="H504" s="19" t="s">
        <v>113</v>
      </c>
      <c r="I504" s="23">
        <f>(100-33.9)/100</f>
        <v>0.661</v>
      </c>
      <c r="J504" s="21">
        <v>0.25</v>
      </c>
      <c r="K504" s="11"/>
    </row>
    <row r="505">
      <c r="A505" s="11"/>
      <c r="B505" s="11"/>
      <c r="C505" s="11"/>
      <c r="D505" s="11"/>
      <c r="E505" s="11"/>
      <c r="F505" s="11"/>
      <c r="G505" s="11"/>
      <c r="H505" s="19" t="s">
        <v>58</v>
      </c>
      <c r="I505" s="23">
        <f>1.15/4</f>
        <v>0.2875</v>
      </c>
      <c r="J505" s="21">
        <v>0.5</v>
      </c>
      <c r="K505" s="11"/>
    </row>
    <row r="506">
      <c r="A506" s="11"/>
      <c r="B506" s="15"/>
      <c r="C506" s="15"/>
      <c r="D506" s="15"/>
      <c r="E506" s="15"/>
      <c r="F506" s="15"/>
      <c r="G506" s="15"/>
      <c r="H506" s="19" t="s">
        <v>114</v>
      </c>
      <c r="I506" s="23">
        <f>(100-56.2)/100</f>
        <v>0.438</v>
      </c>
      <c r="J506" s="21">
        <v>0.25</v>
      </c>
      <c r="K506" s="11"/>
    </row>
    <row r="507">
      <c r="A507" s="11"/>
      <c r="B507" s="27" t="s">
        <v>60</v>
      </c>
      <c r="C507" s="28">
        <f>(G507*F507)+(F509*G509)</f>
        <v>0.4185</v>
      </c>
      <c r="D507" s="28">
        <v>0.2</v>
      </c>
      <c r="E507" s="29" t="s">
        <v>61</v>
      </c>
      <c r="F507" s="28">
        <f>(J507*I507)+(I508*J508)</f>
        <v>0.6366666667</v>
      </c>
      <c r="G507" s="28">
        <v>0.45</v>
      </c>
      <c r="H507" s="30" t="s">
        <v>62</v>
      </c>
      <c r="I507" s="31">
        <v>0.63</v>
      </c>
      <c r="J507" s="32">
        <v>0.6</v>
      </c>
      <c r="K507" s="11"/>
    </row>
    <row r="508">
      <c r="A508" s="11"/>
      <c r="B508" s="11"/>
      <c r="C508" s="11"/>
      <c r="D508" s="11"/>
      <c r="E508" s="15"/>
      <c r="F508" s="15"/>
      <c r="G508" s="15"/>
      <c r="H508" s="30" t="s">
        <v>63</v>
      </c>
      <c r="I508" s="33">
        <f>1.94/3</f>
        <v>0.6466666667</v>
      </c>
      <c r="J508" s="32">
        <v>0.4</v>
      </c>
      <c r="K508" s="11"/>
    </row>
    <row r="509">
      <c r="A509" s="11"/>
      <c r="B509" s="11"/>
      <c r="C509" s="11"/>
      <c r="D509" s="11"/>
      <c r="E509" s="29" t="s">
        <v>64</v>
      </c>
      <c r="F509" s="28">
        <f>(J509*I509)+(I510*J510)</f>
        <v>0.24</v>
      </c>
      <c r="G509" s="28">
        <v>0.55</v>
      </c>
      <c r="H509" s="30" t="s">
        <v>65</v>
      </c>
      <c r="I509" s="31">
        <f>4/10</f>
        <v>0.4</v>
      </c>
      <c r="J509" s="32">
        <v>0.6</v>
      </c>
      <c r="K509" s="11"/>
    </row>
    <row r="510">
      <c r="A510" s="11"/>
      <c r="B510" s="15"/>
      <c r="C510" s="15"/>
      <c r="D510" s="15"/>
      <c r="E510" s="15"/>
      <c r="F510" s="15"/>
      <c r="G510" s="15"/>
      <c r="H510" s="30" t="s">
        <v>66</v>
      </c>
      <c r="I510" s="31"/>
      <c r="J510" s="32">
        <v>0.4</v>
      </c>
      <c r="K510" s="11"/>
    </row>
    <row r="511">
      <c r="A511" s="11"/>
      <c r="B511" s="34" t="s">
        <v>67</v>
      </c>
      <c r="C511" s="35">
        <f>(F511*G511)+(F515*G515)</f>
        <v>0.558675</v>
      </c>
      <c r="D511" s="35">
        <v>0.2</v>
      </c>
      <c r="E511" s="36" t="s">
        <v>68</v>
      </c>
      <c r="F511" s="35">
        <f>(J511*I511)+(J512*I512)+(J513*I513)+(J514*I514)</f>
        <v>0.585</v>
      </c>
      <c r="G511" s="35">
        <v>0.55</v>
      </c>
      <c r="H511" s="37" t="s">
        <v>69</v>
      </c>
      <c r="I511" s="38">
        <v>0.35</v>
      </c>
      <c r="J511" s="39">
        <v>0.35</v>
      </c>
      <c r="K511" s="11"/>
    </row>
    <row r="512">
      <c r="A512" s="11"/>
      <c r="B512" s="11"/>
      <c r="C512" s="11"/>
      <c r="D512" s="11"/>
      <c r="E512" s="11"/>
      <c r="F512" s="11"/>
      <c r="G512" s="11"/>
      <c r="H512" s="37" t="s">
        <v>70</v>
      </c>
      <c r="I512" s="40">
        <f>2.11/4</f>
        <v>0.5275</v>
      </c>
      <c r="J512" s="39">
        <v>0.35</v>
      </c>
      <c r="K512" s="11"/>
    </row>
    <row r="513">
      <c r="A513" s="11"/>
      <c r="B513" s="11"/>
      <c r="C513" s="11"/>
      <c r="D513" s="11"/>
      <c r="E513" s="11"/>
      <c r="F513" s="11"/>
      <c r="G513" s="11"/>
      <c r="H513" s="37" t="s">
        <v>71</v>
      </c>
      <c r="I513" s="40">
        <f>3.41/4</f>
        <v>0.8525</v>
      </c>
      <c r="J513" s="39">
        <v>0.15</v>
      </c>
      <c r="K513" s="11"/>
    </row>
    <row r="514">
      <c r="A514" s="11"/>
      <c r="B514" s="11"/>
      <c r="C514" s="11"/>
      <c r="D514" s="11"/>
      <c r="E514" s="15"/>
      <c r="F514" s="15"/>
      <c r="G514" s="15"/>
      <c r="H514" s="37" t="s">
        <v>72</v>
      </c>
      <c r="I514" s="38">
        <v>1.0</v>
      </c>
      <c r="J514" s="39">
        <v>0.15</v>
      </c>
      <c r="K514" s="11"/>
    </row>
    <row r="515">
      <c r="A515" s="11"/>
      <c r="B515" s="11"/>
      <c r="C515" s="11"/>
      <c r="D515" s="11"/>
      <c r="E515" s="34" t="s">
        <v>73</v>
      </c>
      <c r="F515" s="35">
        <f>(J515*I515)+(I516*J516)+(I517*J517)</f>
        <v>0.5265</v>
      </c>
      <c r="G515" s="35">
        <v>0.45</v>
      </c>
      <c r="H515" s="37" t="s">
        <v>74</v>
      </c>
      <c r="I515" s="38">
        <f>2.2/4</f>
        <v>0.55</v>
      </c>
      <c r="J515" s="39">
        <v>0.3</v>
      </c>
      <c r="K515" s="11"/>
    </row>
    <row r="516">
      <c r="A516" s="11"/>
      <c r="B516" s="11"/>
      <c r="C516" s="11"/>
      <c r="D516" s="11"/>
      <c r="E516" s="11"/>
      <c r="F516" s="11"/>
      <c r="G516" s="11"/>
      <c r="H516" s="37" t="s">
        <v>75</v>
      </c>
      <c r="I516" s="40">
        <f>1.66/4</f>
        <v>0.415</v>
      </c>
      <c r="J516" s="39">
        <v>0.3</v>
      </c>
      <c r="K516" s="11"/>
    </row>
    <row r="517">
      <c r="A517" s="11"/>
      <c r="B517" s="15"/>
      <c r="C517" s="15"/>
      <c r="D517" s="15"/>
      <c r="E517" s="15"/>
      <c r="F517" s="15"/>
      <c r="G517" s="15"/>
      <c r="H517" s="37" t="s">
        <v>76</v>
      </c>
      <c r="I517" s="40">
        <f>2.37/4</f>
        <v>0.5925</v>
      </c>
      <c r="J517" s="39">
        <v>0.4</v>
      </c>
      <c r="K517" s="11"/>
    </row>
    <row r="518">
      <c r="A518" s="11"/>
      <c r="B518" s="41" t="s">
        <v>77</v>
      </c>
      <c r="C518" s="42">
        <f>(F518*G518)+(F520*G520)</f>
        <v>0.388</v>
      </c>
      <c r="D518" s="42">
        <v>0.1</v>
      </c>
      <c r="E518" s="41" t="s">
        <v>78</v>
      </c>
      <c r="F518" s="42">
        <f>(J518*I518)+(I519*J519)</f>
        <v>0.5</v>
      </c>
      <c r="G518" s="42">
        <v>0.6</v>
      </c>
      <c r="H518" s="43" t="s">
        <v>79</v>
      </c>
      <c r="I518" s="44">
        <v>1.0</v>
      </c>
      <c r="J518" s="45">
        <v>0.5</v>
      </c>
      <c r="K518" s="11"/>
    </row>
    <row r="519">
      <c r="A519" s="11"/>
      <c r="B519" s="11"/>
      <c r="C519" s="11"/>
      <c r="D519" s="11"/>
      <c r="E519" s="15"/>
      <c r="F519" s="15"/>
      <c r="G519" s="15"/>
      <c r="H519" s="43" t="s">
        <v>80</v>
      </c>
      <c r="I519" s="44">
        <v>0.0</v>
      </c>
      <c r="J519" s="45">
        <v>0.5</v>
      </c>
      <c r="K519" s="11"/>
    </row>
    <row r="520">
      <c r="A520" s="11"/>
      <c r="B520" s="11"/>
      <c r="C520" s="11"/>
      <c r="D520" s="11"/>
      <c r="E520" s="41" t="s">
        <v>81</v>
      </c>
      <c r="F520" s="42">
        <f>(J520*I520)+(I521*J521)</f>
        <v>0.22</v>
      </c>
      <c r="G520" s="42">
        <v>0.4</v>
      </c>
      <c r="H520" s="43" t="s">
        <v>82</v>
      </c>
      <c r="I520" s="44">
        <v>0.0</v>
      </c>
      <c r="J520" s="46">
        <v>0.6</v>
      </c>
      <c r="K520" s="11"/>
    </row>
    <row r="521">
      <c r="A521" s="15"/>
      <c r="B521" s="15"/>
      <c r="C521" s="15"/>
      <c r="D521" s="15"/>
      <c r="E521" s="15"/>
      <c r="F521" s="15"/>
      <c r="G521" s="15"/>
      <c r="H521" s="43" t="s">
        <v>83</v>
      </c>
      <c r="I521" s="44">
        <v>0.55</v>
      </c>
      <c r="J521" s="46">
        <v>0.4</v>
      </c>
      <c r="K521" s="15"/>
    </row>
    <row r="524">
      <c r="A524" s="2" t="s">
        <v>0</v>
      </c>
      <c r="B524" s="2" t="s">
        <v>1</v>
      </c>
      <c r="C524" s="2" t="s">
        <v>2</v>
      </c>
      <c r="D524" s="2" t="s">
        <v>3</v>
      </c>
      <c r="E524" s="2" t="s">
        <v>4</v>
      </c>
      <c r="F524" s="2" t="s">
        <v>5</v>
      </c>
      <c r="G524" s="2" t="s">
        <v>6</v>
      </c>
      <c r="H524" s="3" t="s">
        <v>7</v>
      </c>
      <c r="I524" s="2" t="s">
        <v>8</v>
      </c>
      <c r="J524" s="2" t="s">
        <v>9</v>
      </c>
      <c r="K524" s="2" t="s">
        <v>10</v>
      </c>
    </row>
    <row r="525">
      <c r="A525" s="4" t="s">
        <v>52</v>
      </c>
      <c r="B525" s="5" t="s">
        <v>12</v>
      </c>
      <c r="C525" s="6">
        <f>(G525*F525)+(G529*F529)+(G531*F531)+(G534*F534)</f>
        <v>0.530947</v>
      </c>
      <c r="D525" s="6">
        <v>0.3</v>
      </c>
      <c r="E525" s="5" t="s">
        <v>13</v>
      </c>
      <c r="F525" s="6">
        <f>(J525*I525)+(J526*I526)+(J527*I527)+(J528*I528)</f>
        <v>0.6155</v>
      </c>
      <c r="G525" s="6">
        <v>0.3</v>
      </c>
      <c r="H525" s="7" t="s">
        <v>14</v>
      </c>
      <c r="I525" s="8">
        <v>0.71</v>
      </c>
      <c r="J525" s="9">
        <v>0.15</v>
      </c>
      <c r="K525" s="10">
        <f>(C525*D525)+(C536*D536)+(C547*D547)+(C551*D551)+(C558*D558)</f>
        <v>0.53812035</v>
      </c>
    </row>
    <row r="526">
      <c r="A526" s="11"/>
      <c r="B526" s="11"/>
      <c r="C526" s="11"/>
      <c r="D526" s="11"/>
      <c r="E526" s="11"/>
      <c r="F526" s="11"/>
      <c r="G526" s="11"/>
      <c r="H526" s="7" t="s">
        <v>15</v>
      </c>
      <c r="I526" s="8">
        <v>0.54</v>
      </c>
      <c r="J526" s="9">
        <v>0.5</v>
      </c>
      <c r="K526" s="11"/>
    </row>
    <row r="527">
      <c r="A527" s="11"/>
      <c r="B527" s="11"/>
      <c r="C527" s="11"/>
      <c r="D527" s="11"/>
      <c r="E527" s="11"/>
      <c r="F527" s="11"/>
      <c r="G527" s="11"/>
      <c r="H527" s="7" t="s">
        <v>18</v>
      </c>
      <c r="I527" s="13">
        <f>5/10</f>
        <v>0.5</v>
      </c>
      <c r="J527" s="9">
        <v>0.15</v>
      </c>
      <c r="K527" s="11"/>
    </row>
    <row r="528">
      <c r="A528" s="11"/>
      <c r="B528" s="11"/>
      <c r="C528" s="11"/>
      <c r="D528" s="11"/>
      <c r="E528" s="15"/>
      <c r="F528" s="15"/>
      <c r="G528" s="15"/>
      <c r="H528" s="7" t="s">
        <v>19</v>
      </c>
      <c r="I528" s="8">
        <v>0.82</v>
      </c>
      <c r="J528" s="9">
        <v>0.2</v>
      </c>
      <c r="K528" s="11"/>
    </row>
    <row r="529">
      <c r="A529" s="11"/>
      <c r="B529" s="11"/>
      <c r="C529" s="11"/>
      <c r="D529" s="11"/>
      <c r="E529" s="5" t="s">
        <v>21</v>
      </c>
      <c r="F529" s="6">
        <f>(J529*I529)+(I530*J530)</f>
        <v>0.4105</v>
      </c>
      <c r="G529" s="6">
        <v>0.25</v>
      </c>
      <c r="H529" s="7" t="s">
        <v>22</v>
      </c>
      <c r="I529" s="8">
        <f>4/10</f>
        <v>0.4</v>
      </c>
      <c r="J529" s="9">
        <v>0.7</v>
      </c>
      <c r="K529" s="11"/>
    </row>
    <row r="530">
      <c r="A530" s="11"/>
      <c r="B530" s="11"/>
      <c r="C530" s="11"/>
      <c r="D530" s="11"/>
      <c r="E530" s="15"/>
      <c r="F530" s="15"/>
      <c r="G530" s="15"/>
      <c r="H530" s="7" t="s">
        <v>24</v>
      </c>
      <c r="I530" s="13">
        <f>1.74/4</f>
        <v>0.435</v>
      </c>
      <c r="J530" s="9">
        <v>0.3</v>
      </c>
      <c r="K530" s="11"/>
    </row>
    <row r="531">
      <c r="A531" s="11"/>
      <c r="B531" s="11"/>
      <c r="C531" s="11"/>
      <c r="D531" s="11"/>
      <c r="E531" s="5" t="s">
        <v>26</v>
      </c>
      <c r="F531" s="6">
        <f>(J531*I531)+(I532*J532)+(I533*J533)</f>
        <v>0.52824</v>
      </c>
      <c r="G531" s="6">
        <v>0.3</v>
      </c>
      <c r="H531" s="7" t="s">
        <v>27</v>
      </c>
      <c r="I531" s="13">
        <f>33.64/100</f>
        <v>0.3364</v>
      </c>
      <c r="J531" s="9">
        <v>0.35</v>
      </c>
      <c r="K531" s="11"/>
    </row>
    <row r="532">
      <c r="A532" s="11"/>
      <c r="B532" s="11"/>
      <c r="C532" s="11"/>
      <c r="D532" s="11"/>
      <c r="E532" s="11"/>
      <c r="F532" s="11"/>
      <c r="G532" s="11"/>
      <c r="H532" s="7" t="s">
        <v>29</v>
      </c>
      <c r="I532" s="8">
        <f>33/100</f>
        <v>0.33</v>
      </c>
      <c r="J532" s="9">
        <v>0.3</v>
      </c>
      <c r="K532" s="11"/>
    </row>
    <row r="533">
      <c r="A533" s="11"/>
      <c r="B533" s="11"/>
      <c r="C533" s="11"/>
      <c r="D533" s="11"/>
      <c r="E533" s="15"/>
      <c r="F533" s="15"/>
      <c r="G533" s="15"/>
      <c r="H533" s="7" t="s">
        <v>31</v>
      </c>
      <c r="I533" s="8">
        <v>0.89</v>
      </c>
      <c r="J533" s="9">
        <v>0.35</v>
      </c>
      <c r="K533" s="11"/>
    </row>
    <row r="534">
      <c r="A534" s="11"/>
      <c r="B534" s="11"/>
      <c r="C534" s="11"/>
      <c r="D534" s="11"/>
      <c r="E534" s="5" t="s">
        <v>33</v>
      </c>
      <c r="F534" s="6">
        <f>(J534*I534)+(I535*J535)</f>
        <v>0.568</v>
      </c>
      <c r="G534" s="6">
        <v>0.15</v>
      </c>
      <c r="H534" s="7" t="s">
        <v>34</v>
      </c>
      <c r="I534" s="8">
        <v>0.38</v>
      </c>
      <c r="J534" s="9">
        <v>0.6</v>
      </c>
      <c r="K534" s="11"/>
    </row>
    <row r="535">
      <c r="A535" s="11"/>
      <c r="B535" s="15"/>
      <c r="C535" s="15"/>
      <c r="D535" s="15"/>
      <c r="E535" s="15"/>
      <c r="F535" s="15"/>
      <c r="G535" s="15"/>
      <c r="H535" s="7" t="s">
        <v>36</v>
      </c>
      <c r="I535" s="13">
        <f>3.4/4</f>
        <v>0.85</v>
      </c>
      <c r="J535" s="9">
        <v>0.4</v>
      </c>
      <c r="K535" s="11"/>
    </row>
    <row r="536">
      <c r="A536" s="11"/>
      <c r="B536" s="16" t="s">
        <v>38</v>
      </c>
      <c r="C536" s="17">
        <f>(G536*F536)+(F540*G540)+(F544*G544)</f>
        <v>0.49855</v>
      </c>
      <c r="D536" s="17">
        <v>0.2</v>
      </c>
      <c r="E536" s="18" t="s">
        <v>39</v>
      </c>
      <c r="F536" s="17">
        <f>(J536*I536)+(J537*I537)+(J538*I538)+(J539*I539)</f>
        <v>0.402</v>
      </c>
      <c r="G536" s="17">
        <v>0.35</v>
      </c>
      <c r="H536" s="19" t="s">
        <v>40</v>
      </c>
      <c r="I536" s="20">
        <f>3/10</f>
        <v>0.3</v>
      </c>
      <c r="J536" s="21">
        <v>0.3</v>
      </c>
      <c r="K536" s="11"/>
    </row>
    <row r="537">
      <c r="A537" s="11"/>
      <c r="B537" s="11"/>
      <c r="C537" s="11"/>
      <c r="D537" s="11"/>
      <c r="E537" s="11"/>
      <c r="F537" s="11"/>
      <c r="G537" s="11"/>
      <c r="H537" s="19" t="s">
        <v>42</v>
      </c>
      <c r="I537" s="23">
        <f>1.7/4</f>
        <v>0.425</v>
      </c>
      <c r="J537" s="21">
        <v>0.2</v>
      </c>
      <c r="K537" s="11"/>
    </row>
    <row r="538">
      <c r="A538" s="11"/>
      <c r="B538" s="11"/>
      <c r="C538" s="11"/>
      <c r="D538" s="11"/>
      <c r="E538" s="11"/>
      <c r="F538" s="11"/>
      <c r="G538" s="11"/>
      <c r="H538" s="19" t="s">
        <v>44</v>
      </c>
      <c r="I538" s="23">
        <f>1.57/4</f>
        <v>0.3925</v>
      </c>
      <c r="J538" s="21">
        <v>0.2</v>
      </c>
      <c r="K538" s="11"/>
    </row>
    <row r="539">
      <c r="A539" s="11"/>
      <c r="B539" s="11"/>
      <c r="C539" s="11"/>
      <c r="D539" s="11"/>
      <c r="E539" s="15"/>
      <c r="F539" s="15"/>
      <c r="G539" s="15"/>
      <c r="H539" s="19" t="s">
        <v>46</v>
      </c>
      <c r="I539" s="23">
        <f>1.98/4</f>
        <v>0.495</v>
      </c>
      <c r="J539" s="21">
        <v>0.3</v>
      </c>
      <c r="K539" s="11"/>
    </row>
    <row r="540">
      <c r="A540" s="11"/>
      <c r="B540" s="11"/>
      <c r="C540" s="11"/>
      <c r="D540" s="11"/>
      <c r="E540" s="18" t="s">
        <v>48</v>
      </c>
      <c r="F540" s="17">
        <f>(J540*I540)+(J541*I541)+(J542*I542)</f>
        <v>0.529</v>
      </c>
      <c r="G540" s="17">
        <v>0.4</v>
      </c>
      <c r="H540" s="19" t="s">
        <v>49</v>
      </c>
      <c r="I540" s="20">
        <v>0.467</v>
      </c>
      <c r="J540" s="21">
        <v>0.5</v>
      </c>
      <c r="K540" s="11"/>
    </row>
    <row r="541">
      <c r="A541" s="11"/>
      <c r="B541" s="11"/>
      <c r="C541" s="11"/>
      <c r="D541" s="11"/>
      <c r="E541" s="11"/>
      <c r="F541" s="11"/>
      <c r="G541" s="11"/>
      <c r="H541" s="19" t="s">
        <v>51</v>
      </c>
      <c r="I541" s="20">
        <v>0.45</v>
      </c>
      <c r="J541" s="21">
        <v>0.3</v>
      </c>
      <c r="K541" s="11"/>
    </row>
    <row r="542">
      <c r="A542" s="11"/>
      <c r="B542" s="11"/>
      <c r="C542" s="11"/>
      <c r="D542" s="11"/>
      <c r="E542" s="11"/>
      <c r="F542" s="11"/>
      <c r="G542" s="11"/>
      <c r="H542" s="25" t="s">
        <v>53</v>
      </c>
      <c r="I542" s="47">
        <f>3.21/4</f>
        <v>0.8025</v>
      </c>
      <c r="J542" s="17">
        <v>0.2</v>
      </c>
      <c r="K542" s="11"/>
    </row>
    <row r="543">
      <c r="A543" s="11"/>
      <c r="B543" s="11"/>
      <c r="C543" s="11"/>
      <c r="D543" s="11"/>
      <c r="E543" s="15"/>
      <c r="F543" s="15"/>
      <c r="G543" s="15"/>
      <c r="H543" s="15"/>
      <c r="I543" s="15"/>
      <c r="J543" s="15"/>
      <c r="K543" s="11"/>
    </row>
    <row r="544">
      <c r="A544" s="11"/>
      <c r="B544" s="11"/>
      <c r="C544" s="11"/>
      <c r="D544" s="11"/>
      <c r="E544" s="18" t="s">
        <v>56</v>
      </c>
      <c r="F544" s="17">
        <f>(J544*I544)+(I545*J545)+(I546*J546)</f>
        <v>0.585</v>
      </c>
      <c r="G544" s="17">
        <v>0.25</v>
      </c>
      <c r="H544" s="19" t="s">
        <v>100</v>
      </c>
      <c r="I544" s="23">
        <f>(100-35.7)/100</f>
        <v>0.643</v>
      </c>
      <c r="J544" s="21">
        <v>0.25</v>
      </c>
      <c r="K544" s="11"/>
    </row>
    <row r="545">
      <c r="A545" s="11"/>
      <c r="B545" s="11"/>
      <c r="C545" s="11"/>
      <c r="D545" s="11"/>
      <c r="E545" s="11"/>
      <c r="F545" s="11"/>
      <c r="G545" s="11"/>
      <c r="H545" s="19" t="s">
        <v>58</v>
      </c>
      <c r="I545" s="23">
        <f>2.53/4</f>
        <v>0.6325</v>
      </c>
      <c r="J545" s="21">
        <v>0.5</v>
      </c>
      <c r="K545" s="11"/>
    </row>
    <row r="546">
      <c r="A546" s="11"/>
      <c r="B546" s="15"/>
      <c r="C546" s="15"/>
      <c r="D546" s="15"/>
      <c r="E546" s="15"/>
      <c r="F546" s="15"/>
      <c r="G546" s="15"/>
      <c r="H546" s="19" t="s">
        <v>101</v>
      </c>
      <c r="I546" s="23">
        <f>(100-56.8)/100</f>
        <v>0.432</v>
      </c>
      <c r="J546" s="21">
        <v>0.25</v>
      </c>
      <c r="K546" s="11"/>
    </row>
    <row r="547">
      <c r="A547" s="11"/>
      <c r="B547" s="27" t="s">
        <v>60</v>
      </c>
      <c r="C547" s="28">
        <f>(G547*F547)+(F549*G549)</f>
        <v>0.6204</v>
      </c>
      <c r="D547" s="28">
        <v>0.2</v>
      </c>
      <c r="E547" s="29" t="s">
        <v>61</v>
      </c>
      <c r="F547" s="28">
        <f>(J547*I547)+(I548*J548)</f>
        <v>0.792</v>
      </c>
      <c r="G547" s="28">
        <v>0.45</v>
      </c>
      <c r="H547" s="30" t="s">
        <v>62</v>
      </c>
      <c r="I547" s="31">
        <v>0.9</v>
      </c>
      <c r="J547" s="32">
        <v>0.6</v>
      </c>
      <c r="K547" s="11"/>
    </row>
    <row r="548">
      <c r="A548" s="11"/>
      <c r="B548" s="11"/>
      <c r="C548" s="11"/>
      <c r="D548" s="11"/>
      <c r="E548" s="15"/>
      <c r="F548" s="15"/>
      <c r="G548" s="15"/>
      <c r="H548" s="30" t="s">
        <v>63</v>
      </c>
      <c r="I548" s="33">
        <f>1.89/3</f>
        <v>0.63</v>
      </c>
      <c r="J548" s="32">
        <v>0.4</v>
      </c>
      <c r="K548" s="11"/>
    </row>
    <row r="549">
      <c r="A549" s="11"/>
      <c r="B549" s="11"/>
      <c r="C549" s="11"/>
      <c r="D549" s="11"/>
      <c r="E549" s="29" t="s">
        <v>64</v>
      </c>
      <c r="F549" s="28">
        <f>(J549*I549)+(I550*J550)</f>
        <v>0.48</v>
      </c>
      <c r="G549" s="28">
        <v>0.55</v>
      </c>
      <c r="H549" s="30" t="s">
        <v>65</v>
      </c>
      <c r="I549" s="31">
        <f>4/10</f>
        <v>0.4</v>
      </c>
      <c r="J549" s="32">
        <v>0.6</v>
      </c>
      <c r="K549" s="11"/>
    </row>
    <row r="550">
      <c r="A550" s="11"/>
      <c r="B550" s="15"/>
      <c r="C550" s="15"/>
      <c r="D550" s="15"/>
      <c r="E550" s="15"/>
      <c r="F550" s="15"/>
      <c r="G550" s="15"/>
      <c r="H550" s="30" t="s">
        <v>95</v>
      </c>
      <c r="I550" s="31">
        <f>6/10</f>
        <v>0.6</v>
      </c>
      <c r="J550" s="32">
        <v>0.4</v>
      </c>
      <c r="K550" s="11"/>
    </row>
    <row r="551">
      <c r="A551" s="11"/>
      <c r="B551" s="34" t="s">
        <v>67</v>
      </c>
      <c r="C551" s="35">
        <f>(F551*G551)+(F555*G555)</f>
        <v>0.50533125</v>
      </c>
      <c r="D551" s="35">
        <v>0.2</v>
      </c>
      <c r="E551" s="36" t="s">
        <v>68</v>
      </c>
      <c r="F551" s="35">
        <f>(J551*I551)+(J552*I552)+(J553*I553)+(J554*I554)</f>
        <v>0.560625</v>
      </c>
      <c r="G551" s="35">
        <v>0.55</v>
      </c>
      <c r="H551" s="37" t="s">
        <v>69</v>
      </c>
      <c r="I551" s="38">
        <v>0.32</v>
      </c>
      <c r="J551" s="39">
        <v>0.35</v>
      </c>
      <c r="K551" s="11"/>
    </row>
    <row r="552">
      <c r="A552" s="11"/>
      <c r="B552" s="11"/>
      <c r="C552" s="11"/>
      <c r="D552" s="11"/>
      <c r="E552" s="11"/>
      <c r="F552" s="11"/>
      <c r="G552" s="11"/>
      <c r="H552" s="37" t="s">
        <v>70</v>
      </c>
      <c r="I552" s="40">
        <f>1.87/4</f>
        <v>0.4675</v>
      </c>
      <c r="J552" s="39">
        <v>0.35</v>
      </c>
      <c r="K552" s="11"/>
    </row>
    <row r="553">
      <c r="A553" s="11"/>
      <c r="B553" s="11"/>
      <c r="C553" s="11"/>
      <c r="D553" s="11"/>
      <c r="E553" s="11"/>
      <c r="F553" s="11"/>
      <c r="G553" s="11"/>
      <c r="H553" s="37" t="s">
        <v>71</v>
      </c>
      <c r="I553" s="40">
        <f>3.6/4</f>
        <v>0.9</v>
      </c>
      <c r="J553" s="39">
        <v>0.15</v>
      </c>
      <c r="K553" s="11"/>
    </row>
    <row r="554">
      <c r="A554" s="11"/>
      <c r="B554" s="11"/>
      <c r="C554" s="11"/>
      <c r="D554" s="11"/>
      <c r="E554" s="15"/>
      <c r="F554" s="15"/>
      <c r="G554" s="15"/>
      <c r="H554" s="37" t="s">
        <v>72</v>
      </c>
      <c r="I554" s="38">
        <v>1.0</v>
      </c>
      <c r="J554" s="39">
        <v>0.15</v>
      </c>
      <c r="K554" s="11"/>
    </row>
    <row r="555">
      <c r="A555" s="11"/>
      <c r="B555" s="11"/>
      <c r="C555" s="11"/>
      <c r="D555" s="11"/>
      <c r="E555" s="34" t="s">
        <v>73</v>
      </c>
      <c r="F555" s="35">
        <f>(J555*I555)+(I556*J556)+(I557*J557)</f>
        <v>0.43775</v>
      </c>
      <c r="G555" s="35">
        <v>0.45</v>
      </c>
      <c r="H555" s="37" t="s">
        <v>74</v>
      </c>
      <c r="I555" s="40">
        <f>1.23/4</f>
        <v>0.3075</v>
      </c>
      <c r="J555" s="39">
        <v>0.3</v>
      </c>
      <c r="K555" s="11"/>
    </row>
    <row r="556">
      <c r="A556" s="11"/>
      <c r="B556" s="11"/>
      <c r="C556" s="11"/>
      <c r="D556" s="11"/>
      <c r="E556" s="11"/>
      <c r="F556" s="11"/>
      <c r="G556" s="11"/>
      <c r="H556" s="37" t="s">
        <v>75</v>
      </c>
      <c r="I556" s="40">
        <f>1.7/4</f>
        <v>0.425</v>
      </c>
      <c r="J556" s="39">
        <v>0.3</v>
      </c>
      <c r="K556" s="11"/>
    </row>
    <row r="557">
      <c r="A557" s="11"/>
      <c r="B557" s="15"/>
      <c r="C557" s="15"/>
      <c r="D557" s="15"/>
      <c r="E557" s="15"/>
      <c r="F557" s="15"/>
      <c r="G557" s="15"/>
      <c r="H557" s="37" t="s">
        <v>76</v>
      </c>
      <c r="I557" s="40">
        <f>2.18/4</f>
        <v>0.545</v>
      </c>
      <c r="J557" s="39">
        <v>0.4</v>
      </c>
      <c r="K557" s="11"/>
    </row>
    <row r="558">
      <c r="A558" s="11"/>
      <c r="B558" s="41" t="s">
        <v>77</v>
      </c>
      <c r="C558" s="42">
        <f>(F558*G558)+(F560*G560)</f>
        <v>0.5398</v>
      </c>
      <c r="D558" s="42">
        <v>0.1</v>
      </c>
      <c r="E558" s="41" t="s">
        <v>78</v>
      </c>
      <c r="F558" s="42">
        <f>(J558*I558)+(I559*J559)</f>
        <v>0.665</v>
      </c>
      <c r="G558" s="42">
        <v>0.6</v>
      </c>
      <c r="H558" s="43" t="s">
        <v>79</v>
      </c>
      <c r="I558" s="44">
        <v>1.0</v>
      </c>
      <c r="J558" s="45">
        <v>0.5</v>
      </c>
      <c r="K558" s="11"/>
    </row>
    <row r="559">
      <c r="A559" s="11"/>
      <c r="B559" s="11"/>
      <c r="C559" s="11"/>
      <c r="D559" s="11"/>
      <c r="E559" s="15"/>
      <c r="F559" s="15"/>
      <c r="G559" s="15"/>
      <c r="H559" s="43" t="s">
        <v>80</v>
      </c>
      <c r="I559" s="44">
        <v>0.33</v>
      </c>
      <c r="J559" s="45">
        <v>0.5</v>
      </c>
      <c r="K559" s="11"/>
    </row>
    <row r="560">
      <c r="A560" s="11"/>
      <c r="B560" s="11"/>
      <c r="C560" s="11"/>
      <c r="D560" s="11"/>
      <c r="E560" s="41" t="s">
        <v>81</v>
      </c>
      <c r="F560" s="42">
        <f>(J560*I560)+(I561*J561)</f>
        <v>0.352</v>
      </c>
      <c r="G560" s="42">
        <v>0.4</v>
      </c>
      <c r="H560" s="43" t="s">
        <v>82</v>
      </c>
      <c r="I560" s="44">
        <v>0.5</v>
      </c>
      <c r="J560" s="46">
        <v>0.6</v>
      </c>
      <c r="K560" s="11"/>
    </row>
    <row r="561">
      <c r="A561" s="15"/>
      <c r="B561" s="15"/>
      <c r="C561" s="15"/>
      <c r="D561" s="15"/>
      <c r="E561" s="15"/>
      <c r="F561" s="15"/>
      <c r="G561" s="15"/>
      <c r="H561" s="43" t="s">
        <v>83</v>
      </c>
      <c r="I561" s="44">
        <v>0.13</v>
      </c>
      <c r="J561" s="46">
        <v>0.4</v>
      </c>
      <c r="K561" s="15"/>
    </row>
    <row r="564">
      <c r="A564" s="2" t="s">
        <v>0</v>
      </c>
      <c r="B564" s="2" t="s">
        <v>1</v>
      </c>
      <c r="C564" s="2" t="s">
        <v>2</v>
      </c>
      <c r="D564" s="2" t="s">
        <v>3</v>
      </c>
      <c r="E564" s="2" t="s">
        <v>4</v>
      </c>
      <c r="F564" s="2" t="s">
        <v>5</v>
      </c>
      <c r="G564" s="2" t="s">
        <v>6</v>
      </c>
      <c r="H564" s="3" t="s">
        <v>7</v>
      </c>
      <c r="I564" s="2" t="s">
        <v>8</v>
      </c>
      <c r="J564" s="2" t="s">
        <v>9</v>
      </c>
      <c r="K564" s="2" t="s">
        <v>10</v>
      </c>
    </row>
    <row r="565">
      <c r="A565" s="4" t="s">
        <v>50</v>
      </c>
      <c r="B565" s="5" t="s">
        <v>12</v>
      </c>
      <c r="C565" s="6">
        <f>(G565*F565)+(G569*F569)+(G571*F571)+(G574*F574)</f>
        <v>0.5971395</v>
      </c>
      <c r="D565" s="6">
        <v>0.3</v>
      </c>
      <c r="E565" s="5" t="s">
        <v>13</v>
      </c>
      <c r="F565" s="6">
        <f>(J565*I565)+(J566*I566)+(J567*I567)+(J568*I568)</f>
        <v>0.66585</v>
      </c>
      <c r="G565" s="6">
        <v>0.3</v>
      </c>
      <c r="H565" s="7" t="s">
        <v>14</v>
      </c>
      <c r="I565" s="8">
        <v>0.7</v>
      </c>
      <c r="J565" s="9">
        <v>0.15</v>
      </c>
      <c r="K565" s="10">
        <f>(C565*D565)+(C576*D576)+(C587*D587)+(C591*D591)+(C598*D598)</f>
        <v>0.6077906</v>
      </c>
    </row>
    <row r="566">
      <c r="A566" s="11"/>
      <c r="B566" s="11"/>
      <c r="C566" s="11"/>
      <c r="D566" s="11"/>
      <c r="E566" s="11"/>
      <c r="F566" s="11"/>
      <c r="G566" s="11"/>
      <c r="H566" s="7" t="s">
        <v>15</v>
      </c>
      <c r="I566" s="8">
        <v>0.69</v>
      </c>
      <c r="J566" s="9">
        <v>0.5</v>
      </c>
      <c r="K566" s="11"/>
    </row>
    <row r="567">
      <c r="A567" s="11"/>
      <c r="B567" s="11"/>
      <c r="C567" s="11"/>
      <c r="D567" s="11"/>
      <c r="E567" s="11"/>
      <c r="F567" s="11"/>
      <c r="G567" s="11"/>
      <c r="H567" s="7" t="s">
        <v>18</v>
      </c>
      <c r="I567" s="13">
        <f>5.59/10</f>
        <v>0.559</v>
      </c>
      <c r="J567" s="9">
        <v>0.15</v>
      </c>
      <c r="K567" s="11"/>
    </row>
    <row r="568">
      <c r="A568" s="11"/>
      <c r="B568" s="11"/>
      <c r="C568" s="11"/>
      <c r="D568" s="11"/>
      <c r="E568" s="15"/>
      <c r="F568" s="15"/>
      <c r="G568" s="15"/>
      <c r="H568" s="7" t="s">
        <v>19</v>
      </c>
      <c r="I568" s="8">
        <v>0.66</v>
      </c>
      <c r="J568" s="9">
        <v>0.2</v>
      </c>
      <c r="K568" s="11"/>
    </row>
    <row r="569">
      <c r="A569" s="11"/>
      <c r="B569" s="11"/>
      <c r="C569" s="11"/>
      <c r="D569" s="11"/>
      <c r="E569" s="5" t="s">
        <v>21</v>
      </c>
      <c r="F569" s="6">
        <f>(J569*I569)+(I570*J570)</f>
        <v>0.55875</v>
      </c>
      <c r="G569" s="6">
        <v>0.25</v>
      </c>
      <c r="H569" s="7" t="s">
        <v>22</v>
      </c>
      <c r="I569" s="8">
        <f>6/10</f>
        <v>0.6</v>
      </c>
      <c r="J569" s="9">
        <v>0.7</v>
      </c>
      <c r="K569" s="11"/>
    </row>
    <row r="570">
      <c r="A570" s="11"/>
      <c r="B570" s="11"/>
      <c r="C570" s="11"/>
      <c r="D570" s="11"/>
      <c r="E570" s="15"/>
      <c r="F570" s="15"/>
      <c r="G570" s="15"/>
      <c r="H570" s="7" t="s">
        <v>24</v>
      </c>
      <c r="I570" s="13">
        <f>1.85/4</f>
        <v>0.4625</v>
      </c>
      <c r="J570" s="9">
        <v>0.3</v>
      </c>
      <c r="K570" s="11"/>
    </row>
    <row r="571">
      <c r="A571" s="11"/>
      <c r="B571" s="11"/>
      <c r="C571" s="11"/>
      <c r="D571" s="11"/>
      <c r="E571" s="5" t="s">
        <v>26</v>
      </c>
      <c r="F571" s="6">
        <f>(J571*I571)+(I572*J572)+(I573*J573)</f>
        <v>0.61149</v>
      </c>
      <c r="G571" s="6">
        <v>0.3</v>
      </c>
      <c r="H571" s="7" t="s">
        <v>27</v>
      </c>
      <c r="I571" s="13">
        <f>50.14/100</f>
        <v>0.5014</v>
      </c>
      <c r="J571" s="9">
        <v>0.35</v>
      </c>
      <c r="K571" s="11"/>
    </row>
    <row r="572">
      <c r="A572" s="11"/>
      <c r="B572" s="11"/>
      <c r="C572" s="11"/>
      <c r="D572" s="11"/>
      <c r="E572" s="11"/>
      <c r="F572" s="11"/>
      <c r="G572" s="11"/>
      <c r="H572" s="7" t="s">
        <v>29</v>
      </c>
      <c r="I572" s="8">
        <f>45/100</f>
        <v>0.45</v>
      </c>
      <c r="J572" s="9">
        <v>0.3</v>
      </c>
      <c r="K572" s="11"/>
    </row>
    <row r="573">
      <c r="A573" s="11"/>
      <c r="B573" s="11"/>
      <c r="C573" s="11"/>
      <c r="D573" s="11"/>
      <c r="E573" s="15"/>
      <c r="F573" s="15"/>
      <c r="G573" s="15"/>
      <c r="H573" s="7" t="s">
        <v>31</v>
      </c>
      <c r="I573" s="8">
        <v>0.86</v>
      </c>
      <c r="J573" s="9">
        <v>0.35</v>
      </c>
      <c r="K573" s="11"/>
    </row>
    <row r="574">
      <c r="A574" s="11"/>
      <c r="B574" s="11"/>
      <c r="C574" s="11"/>
      <c r="D574" s="11"/>
      <c r="E574" s="5" t="s">
        <v>33</v>
      </c>
      <c r="F574" s="6">
        <f>(J574*I574)+(I575*J575)</f>
        <v>0.495</v>
      </c>
      <c r="G574" s="6">
        <v>0.15</v>
      </c>
      <c r="H574" s="7" t="s">
        <v>34</v>
      </c>
      <c r="I574" s="8">
        <v>0.45</v>
      </c>
      <c r="J574" s="9">
        <v>0.6</v>
      </c>
      <c r="K574" s="11"/>
    </row>
    <row r="575">
      <c r="A575" s="11"/>
      <c r="B575" s="15"/>
      <c r="C575" s="15"/>
      <c r="D575" s="15"/>
      <c r="E575" s="15"/>
      <c r="F575" s="15"/>
      <c r="G575" s="15"/>
      <c r="H575" s="7" t="s">
        <v>36</v>
      </c>
      <c r="I575" s="13">
        <f>2.25/4</f>
        <v>0.5625</v>
      </c>
      <c r="J575" s="9">
        <v>0.4</v>
      </c>
      <c r="K575" s="11"/>
    </row>
    <row r="576">
      <c r="A576" s="11"/>
      <c r="B576" s="16" t="s">
        <v>38</v>
      </c>
      <c r="C576" s="17">
        <f>(G576*F576)+(F580*G580)+(F584*G584)</f>
        <v>0.575775</v>
      </c>
      <c r="D576" s="17">
        <v>0.2</v>
      </c>
      <c r="E576" s="18" t="s">
        <v>39</v>
      </c>
      <c r="F576" s="17">
        <f>(J576*I576)+(J577*I577)+(J578*I578)+(J579*I579)</f>
        <v>0.4235</v>
      </c>
      <c r="G576" s="17">
        <v>0.35</v>
      </c>
      <c r="H576" s="19" t="s">
        <v>40</v>
      </c>
      <c r="I576" s="20">
        <f>4/10</f>
        <v>0.4</v>
      </c>
      <c r="J576" s="21">
        <v>0.3</v>
      </c>
      <c r="K576" s="11"/>
    </row>
    <row r="577">
      <c r="A577" s="11"/>
      <c r="B577" s="11"/>
      <c r="C577" s="11"/>
      <c r="D577" s="11"/>
      <c r="E577" s="11"/>
      <c r="F577" s="11"/>
      <c r="G577" s="11"/>
      <c r="H577" s="19" t="s">
        <v>42</v>
      </c>
      <c r="I577" s="20">
        <f>1.8/4</f>
        <v>0.45</v>
      </c>
      <c r="J577" s="21">
        <v>0.2</v>
      </c>
      <c r="K577" s="11"/>
    </row>
    <row r="578">
      <c r="A578" s="11"/>
      <c r="B578" s="11"/>
      <c r="C578" s="11"/>
      <c r="D578" s="11"/>
      <c r="E578" s="11"/>
      <c r="F578" s="11"/>
      <c r="G578" s="11"/>
      <c r="H578" s="19" t="s">
        <v>44</v>
      </c>
      <c r="I578" s="20">
        <f>2.08/4</f>
        <v>0.52</v>
      </c>
      <c r="J578" s="21">
        <v>0.2</v>
      </c>
      <c r="K578" s="11"/>
    </row>
    <row r="579">
      <c r="A579" s="11"/>
      <c r="B579" s="11"/>
      <c r="C579" s="11"/>
      <c r="D579" s="11"/>
      <c r="E579" s="15"/>
      <c r="F579" s="15"/>
      <c r="G579" s="15"/>
      <c r="H579" s="19" t="s">
        <v>46</v>
      </c>
      <c r="I579" s="23">
        <f>1.46/4</f>
        <v>0.365</v>
      </c>
      <c r="J579" s="21">
        <v>0.3</v>
      </c>
      <c r="K579" s="11"/>
    </row>
    <row r="580">
      <c r="A580" s="11"/>
      <c r="B580" s="11"/>
      <c r="C580" s="11"/>
      <c r="D580" s="11"/>
      <c r="E580" s="18" t="s">
        <v>48</v>
      </c>
      <c r="F580" s="17">
        <f>(J580*I580)+(J581*I581)+(J582*I582)</f>
        <v>0.6645</v>
      </c>
      <c r="G580" s="17">
        <v>0.4</v>
      </c>
      <c r="H580" s="19" t="s">
        <v>49</v>
      </c>
      <c r="I580" s="20">
        <v>0.53</v>
      </c>
      <c r="J580" s="21">
        <v>0.5</v>
      </c>
      <c r="K580" s="11"/>
    </row>
    <row r="581">
      <c r="A581" s="11"/>
      <c r="B581" s="11"/>
      <c r="C581" s="11"/>
      <c r="D581" s="11"/>
      <c r="E581" s="11"/>
      <c r="F581" s="11"/>
      <c r="G581" s="11"/>
      <c r="H581" s="19" t="s">
        <v>51</v>
      </c>
      <c r="I581" s="20">
        <v>0.71</v>
      </c>
      <c r="J581" s="21">
        <v>0.3</v>
      </c>
      <c r="K581" s="11"/>
    </row>
    <row r="582">
      <c r="A582" s="11"/>
      <c r="B582" s="11"/>
      <c r="C582" s="11"/>
      <c r="D582" s="11"/>
      <c r="E582" s="11"/>
      <c r="F582" s="11"/>
      <c r="G582" s="11"/>
      <c r="H582" s="25" t="s">
        <v>53</v>
      </c>
      <c r="I582" s="47">
        <f>3.73/4</f>
        <v>0.9325</v>
      </c>
      <c r="J582" s="17">
        <v>0.2</v>
      </c>
      <c r="K582" s="11"/>
    </row>
    <row r="583">
      <c r="A583" s="11"/>
      <c r="B583" s="11"/>
      <c r="C583" s="11"/>
      <c r="D583" s="11"/>
      <c r="E583" s="15"/>
      <c r="F583" s="15"/>
      <c r="G583" s="15"/>
      <c r="H583" s="15"/>
      <c r="I583" s="15"/>
      <c r="J583" s="15"/>
      <c r="K583" s="11"/>
    </row>
    <row r="584">
      <c r="A584" s="11"/>
      <c r="B584" s="11"/>
      <c r="C584" s="11"/>
      <c r="D584" s="11"/>
      <c r="E584" s="18" t="s">
        <v>56</v>
      </c>
      <c r="F584" s="17">
        <f>(J584*I584)+(I585*J585)+(I586*J586)</f>
        <v>0.647</v>
      </c>
      <c r="G584" s="17">
        <v>0.25</v>
      </c>
      <c r="H584" s="19" t="s">
        <v>57</v>
      </c>
      <c r="I584" s="23">
        <f>(100-36.2)/100</f>
        <v>0.638</v>
      </c>
      <c r="J584" s="21">
        <v>0.25</v>
      </c>
      <c r="K584" s="11"/>
    </row>
    <row r="585">
      <c r="A585" s="11"/>
      <c r="B585" s="11"/>
      <c r="C585" s="11"/>
      <c r="D585" s="11"/>
      <c r="E585" s="11"/>
      <c r="F585" s="11"/>
      <c r="G585" s="11"/>
      <c r="H585" s="19" t="s">
        <v>58</v>
      </c>
      <c r="I585" s="23">
        <f>2.65/4</f>
        <v>0.6625</v>
      </c>
      <c r="J585" s="21">
        <v>0.5</v>
      </c>
      <c r="K585" s="11"/>
    </row>
    <row r="586">
      <c r="A586" s="11"/>
      <c r="B586" s="15"/>
      <c r="C586" s="15"/>
      <c r="D586" s="15"/>
      <c r="E586" s="15"/>
      <c r="F586" s="15"/>
      <c r="G586" s="15"/>
      <c r="H586" s="19" t="s">
        <v>59</v>
      </c>
      <c r="I586" s="23">
        <f>(100-37.5)/100</f>
        <v>0.625</v>
      </c>
      <c r="J586" s="21">
        <v>0.25</v>
      </c>
      <c r="K586" s="11"/>
    </row>
    <row r="587">
      <c r="A587" s="11"/>
      <c r="B587" s="27" t="s">
        <v>60</v>
      </c>
      <c r="C587" s="28">
        <f>(G587*F587)+(F589*G589)</f>
        <v>0.7765</v>
      </c>
      <c r="D587" s="28">
        <v>0.2</v>
      </c>
      <c r="E587" s="29" t="s">
        <v>61</v>
      </c>
      <c r="F587" s="28">
        <f>(J587*I587)+(I588*J588)</f>
        <v>0.7966666667</v>
      </c>
      <c r="G587" s="28">
        <v>0.45</v>
      </c>
      <c r="H587" s="30" t="s">
        <v>62</v>
      </c>
      <c r="I587" s="31">
        <v>0.89</v>
      </c>
      <c r="J587" s="32">
        <v>0.6</v>
      </c>
      <c r="K587" s="11"/>
    </row>
    <row r="588">
      <c r="A588" s="11"/>
      <c r="B588" s="11"/>
      <c r="C588" s="11"/>
      <c r="D588" s="11"/>
      <c r="E588" s="15"/>
      <c r="F588" s="15"/>
      <c r="G588" s="15"/>
      <c r="H588" s="30" t="s">
        <v>63</v>
      </c>
      <c r="I588" s="33">
        <f>1.97/3</f>
        <v>0.6566666667</v>
      </c>
      <c r="J588" s="32">
        <v>0.4</v>
      </c>
      <c r="K588" s="11"/>
    </row>
    <row r="589">
      <c r="A589" s="11"/>
      <c r="B589" s="11"/>
      <c r="C589" s="11"/>
      <c r="D589" s="11"/>
      <c r="E589" s="29" t="s">
        <v>64</v>
      </c>
      <c r="F589" s="28">
        <f>(J589*I589)+(I590*J590)</f>
        <v>0.76</v>
      </c>
      <c r="G589" s="28">
        <v>0.55</v>
      </c>
      <c r="H589" s="30" t="s">
        <v>65</v>
      </c>
      <c r="I589" s="33">
        <f>((7+6+7)/3)/10</f>
        <v>0.6666666667</v>
      </c>
      <c r="J589" s="32">
        <v>0.6</v>
      </c>
      <c r="K589" s="11"/>
    </row>
    <row r="590">
      <c r="A590" s="11"/>
      <c r="B590" s="15"/>
      <c r="C590" s="15"/>
      <c r="D590" s="15"/>
      <c r="E590" s="15"/>
      <c r="F590" s="15"/>
      <c r="G590" s="15"/>
      <c r="H590" s="30" t="s">
        <v>95</v>
      </c>
      <c r="I590" s="31">
        <f>9/10</f>
        <v>0.9</v>
      </c>
      <c r="J590" s="32">
        <v>0.4</v>
      </c>
      <c r="K590" s="11"/>
    </row>
    <row r="591">
      <c r="A591" s="11"/>
      <c r="B591" s="34" t="s">
        <v>67</v>
      </c>
      <c r="C591" s="35">
        <f>(F591*G591)+(F595*G595)</f>
        <v>0.77416875</v>
      </c>
      <c r="D591" s="35">
        <v>0.2</v>
      </c>
      <c r="E591" s="36" t="s">
        <v>68</v>
      </c>
      <c r="F591" s="35">
        <f>(J591*I591)+(J592*I592)+(J593*I593)+(J594*I594)</f>
        <v>0.790875</v>
      </c>
      <c r="G591" s="35">
        <v>0.55</v>
      </c>
      <c r="H591" s="37" t="s">
        <v>69</v>
      </c>
      <c r="I591" s="38">
        <v>0.7</v>
      </c>
      <c r="J591" s="39">
        <v>0.35</v>
      </c>
      <c r="K591" s="11"/>
    </row>
    <row r="592">
      <c r="A592" s="11"/>
      <c r="B592" s="11"/>
      <c r="C592" s="11"/>
      <c r="D592" s="11"/>
      <c r="E592" s="11"/>
      <c r="F592" s="11"/>
      <c r="G592" s="11"/>
      <c r="H592" s="37" t="s">
        <v>70</v>
      </c>
      <c r="I592" s="40">
        <f>3.29/4</f>
        <v>0.8225</v>
      </c>
      <c r="J592" s="39">
        <v>0.35</v>
      </c>
      <c r="K592" s="11"/>
    </row>
    <row r="593">
      <c r="A593" s="11"/>
      <c r="B593" s="11"/>
      <c r="C593" s="11"/>
      <c r="D593" s="11"/>
      <c r="E593" s="11"/>
      <c r="F593" s="11"/>
      <c r="G593" s="11"/>
      <c r="H593" s="37" t="s">
        <v>71</v>
      </c>
      <c r="I593" s="40">
        <f>2.88/4</f>
        <v>0.72</v>
      </c>
      <c r="J593" s="39">
        <v>0.15</v>
      </c>
      <c r="K593" s="11"/>
    </row>
    <row r="594">
      <c r="A594" s="11"/>
      <c r="B594" s="11"/>
      <c r="C594" s="11"/>
      <c r="D594" s="11"/>
      <c r="E594" s="15"/>
      <c r="F594" s="15"/>
      <c r="G594" s="15"/>
      <c r="H594" s="37" t="s">
        <v>72</v>
      </c>
      <c r="I594" s="38">
        <v>1.0</v>
      </c>
      <c r="J594" s="39">
        <v>0.15</v>
      </c>
      <c r="K594" s="11"/>
    </row>
    <row r="595">
      <c r="A595" s="11"/>
      <c r="B595" s="11"/>
      <c r="C595" s="11"/>
      <c r="D595" s="11"/>
      <c r="E595" s="34" t="s">
        <v>73</v>
      </c>
      <c r="F595" s="35">
        <f>(J595*I595)+(I596*J596)+(I597*J597)</f>
        <v>0.75375</v>
      </c>
      <c r="G595" s="35">
        <v>0.45</v>
      </c>
      <c r="H595" s="37" t="s">
        <v>74</v>
      </c>
      <c r="I595" s="40">
        <f>2.45/4</f>
        <v>0.6125</v>
      </c>
      <c r="J595" s="39">
        <v>0.3</v>
      </c>
      <c r="K595" s="11"/>
    </row>
    <row r="596">
      <c r="A596" s="11"/>
      <c r="B596" s="11"/>
      <c r="C596" s="11"/>
      <c r="D596" s="11"/>
      <c r="E596" s="11"/>
      <c r="F596" s="11"/>
      <c r="G596" s="11"/>
      <c r="H596" s="37" t="s">
        <v>75</v>
      </c>
      <c r="I596" s="40">
        <f>3.6/4</f>
        <v>0.9</v>
      </c>
      <c r="J596" s="39">
        <v>0.3</v>
      </c>
      <c r="K596" s="11"/>
    </row>
    <row r="597">
      <c r="A597" s="11"/>
      <c r="B597" s="15"/>
      <c r="C597" s="15"/>
      <c r="D597" s="15"/>
      <c r="E597" s="15"/>
      <c r="F597" s="15"/>
      <c r="G597" s="15"/>
      <c r="H597" s="37" t="s">
        <v>76</v>
      </c>
      <c r="I597" s="40">
        <f>3/4</f>
        <v>0.75</v>
      </c>
      <c r="J597" s="39">
        <v>0.4</v>
      </c>
      <c r="K597" s="11"/>
    </row>
    <row r="598">
      <c r="A598" s="11"/>
      <c r="B598" s="41" t="s">
        <v>77</v>
      </c>
      <c r="C598" s="42">
        <f>(F598*G598)+(F600*G600)</f>
        <v>0.0336</v>
      </c>
      <c r="D598" s="42">
        <v>0.1</v>
      </c>
      <c r="E598" s="41" t="s">
        <v>78</v>
      </c>
      <c r="F598" s="42">
        <f>(J598*I598)+(I599*J599)</f>
        <v>0</v>
      </c>
      <c r="G598" s="42">
        <v>0.6</v>
      </c>
      <c r="H598" s="43" t="s">
        <v>79</v>
      </c>
      <c r="I598" s="44">
        <v>0.0</v>
      </c>
      <c r="J598" s="45">
        <v>0.5</v>
      </c>
      <c r="K598" s="11"/>
    </row>
    <row r="599">
      <c r="A599" s="11"/>
      <c r="B599" s="11"/>
      <c r="C599" s="11"/>
      <c r="D599" s="11"/>
      <c r="E599" s="15"/>
      <c r="F599" s="15"/>
      <c r="G599" s="15"/>
      <c r="H599" s="43" t="s">
        <v>80</v>
      </c>
      <c r="I599" s="44">
        <v>0.0</v>
      </c>
      <c r="J599" s="45">
        <v>0.5</v>
      </c>
      <c r="K599" s="11"/>
    </row>
    <row r="600">
      <c r="A600" s="11"/>
      <c r="B600" s="11"/>
      <c r="C600" s="11"/>
      <c r="D600" s="11"/>
      <c r="E600" s="41" t="s">
        <v>81</v>
      </c>
      <c r="F600" s="42">
        <f>(J600*I600)+(I601*J601)</f>
        <v>0.084</v>
      </c>
      <c r="G600" s="42">
        <v>0.4</v>
      </c>
      <c r="H600" s="43" t="s">
        <v>82</v>
      </c>
      <c r="I600" s="44">
        <v>0.0</v>
      </c>
      <c r="J600" s="46">
        <v>0.6</v>
      </c>
      <c r="K600" s="11"/>
    </row>
    <row r="601">
      <c r="A601" s="15"/>
      <c r="B601" s="15"/>
      <c r="C601" s="15"/>
      <c r="D601" s="15"/>
      <c r="E601" s="15"/>
      <c r="F601" s="15"/>
      <c r="G601" s="15"/>
      <c r="H601" s="43" t="s">
        <v>83</v>
      </c>
      <c r="I601" s="44">
        <v>0.21</v>
      </c>
      <c r="J601" s="46">
        <v>0.4</v>
      </c>
      <c r="K601" s="15"/>
    </row>
    <row r="604">
      <c r="A604" s="2" t="s">
        <v>0</v>
      </c>
      <c r="B604" s="2" t="s">
        <v>1</v>
      </c>
      <c r="C604" s="2" t="s">
        <v>2</v>
      </c>
      <c r="D604" s="2" t="s">
        <v>3</v>
      </c>
      <c r="E604" s="2" t="s">
        <v>4</v>
      </c>
      <c r="F604" s="2" t="s">
        <v>5</v>
      </c>
      <c r="G604" s="2" t="s">
        <v>6</v>
      </c>
      <c r="H604" s="3" t="s">
        <v>7</v>
      </c>
      <c r="I604" s="2" t="s">
        <v>8</v>
      </c>
      <c r="J604" s="2" t="s">
        <v>9</v>
      </c>
      <c r="K604" s="2" t="s">
        <v>10</v>
      </c>
    </row>
    <row r="605">
      <c r="A605" s="4" t="s">
        <v>54</v>
      </c>
      <c r="B605" s="5" t="s">
        <v>12</v>
      </c>
      <c r="C605" s="6">
        <f>(G605*F605)+(G609*F609)+(G611*F611)+(G614*F614)</f>
        <v>0.315789</v>
      </c>
      <c r="D605" s="6">
        <v>0.3</v>
      </c>
      <c r="E605" s="5" t="s">
        <v>13</v>
      </c>
      <c r="F605" s="6">
        <f>(J605*I605)+(J606*I606)+(J607*I607)+(J608*I608)</f>
        <v>0.25525</v>
      </c>
      <c r="G605" s="6">
        <v>0.3</v>
      </c>
      <c r="H605" s="7" t="s">
        <v>14</v>
      </c>
      <c r="I605" s="8">
        <v>0.64</v>
      </c>
      <c r="J605" s="9">
        <v>0.15</v>
      </c>
      <c r="K605" s="10">
        <f>(C605*D605)+(C616*D616)+(C627*D627)+(C631*D631)+(C638*D638)</f>
        <v>0.40560295</v>
      </c>
    </row>
    <row r="606">
      <c r="A606" s="11"/>
      <c r="B606" s="11"/>
      <c r="C606" s="11"/>
      <c r="D606" s="11"/>
      <c r="E606" s="11"/>
      <c r="F606" s="11"/>
      <c r="G606" s="11"/>
      <c r="H606" s="7" t="s">
        <v>15</v>
      </c>
      <c r="I606" s="8">
        <v>0.21</v>
      </c>
      <c r="J606" s="9">
        <v>0.5</v>
      </c>
      <c r="K606" s="11"/>
    </row>
    <row r="607">
      <c r="A607" s="11"/>
      <c r="B607" s="11"/>
      <c r="C607" s="11"/>
      <c r="D607" s="11"/>
      <c r="E607" s="11"/>
      <c r="F607" s="11"/>
      <c r="G607" s="11"/>
      <c r="H607" s="7" t="s">
        <v>18</v>
      </c>
      <c r="I607" s="13">
        <f>1.75/10</f>
        <v>0.175</v>
      </c>
      <c r="J607" s="9">
        <v>0.15</v>
      </c>
      <c r="K607" s="11"/>
    </row>
    <row r="608">
      <c r="A608" s="11"/>
      <c r="B608" s="11"/>
      <c r="C608" s="11"/>
      <c r="D608" s="11"/>
      <c r="E608" s="15"/>
      <c r="F608" s="15"/>
      <c r="G608" s="15"/>
      <c r="H608" s="7" t="s">
        <v>19</v>
      </c>
      <c r="I608" s="8">
        <v>0.14</v>
      </c>
      <c r="J608" s="9">
        <v>0.2</v>
      </c>
      <c r="K608" s="11"/>
    </row>
    <row r="609">
      <c r="A609" s="11"/>
      <c r="B609" s="11"/>
      <c r="C609" s="11"/>
      <c r="D609" s="11"/>
      <c r="E609" s="5" t="s">
        <v>21</v>
      </c>
      <c r="F609" s="6">
        <f>(J609*I609)+(I610*J610)</f>
        <v>0.29025</v>
      </c>
      <c r="G609" s="6">
        <v>0.25</v>
      </c>
      <c r="H609" s="7" t="s">
        <v>22</v>
      </c>
      <c r="I609" s="8">
        <f>3/10</f>
        <v>0.3</v>
      </c>
      <c r="J609" s="9">
        <v>0.7</v>
      </c>
      <c r="K609" s="11"/>
    </row>
    <row r="610">
      <c r="A610" s="11"/>
      <c r="B610" s="11"/>
      <c r="C610" s="11"/>
      <c r="D610" s="11"/>
      <c r="E610" s="15"/>
      <c r="F610" s="15"/>
      <c r="G610" s="15"/>
      <c r="H610" s="7" t="s">
        <v>24</v>
      </c>
      <c r="I610" s="13">
        <f>1.07/4</f>
        <v>0.2675</v>
      </c>
      <c r="J610" s="9">
        <v>0.3</v>
      </c>
      <c r="K610" s="11"/>
    </row>
    <row r="611">
      <c r="A611" s="11"/>
      <c r="B611" s="11"/>
      <c r="C611" s="11"/>
      <c r="D611" s="11"/>
      <c r="E611" s="5" t="s">
        <v>26</v>
      </c>
      <c r="F611" s="6">
        <f>(J611*I611)+(I612*J612)+(I613*J613)</f>
        <v>0.412505</v>
      </c>
      <c r="G611" s="6">
        <v>0.3</v>
      </c>
      <c r="H611" s="7" t="s">
        <v>27</v>
      </c>
      <c r="I611" s="13">
        <f>34.43/100</f>
        <v>0.3443</v>
      </c>
      <c r="J611" s="9">
        <v>0.35</v>
      </c>
      <c r="K611" s="11"/>
    </row>
    <row r="612">
      <c r="A612" s="11"/>
      <c r="B612" s="11"/>
      <c r="C612" s="11"/>
      <c r="D612" s="11"/>
      <c r="E612" s="11"/>
      <c r="F612" s="11"/>
      <c r="G612" s="11"/>
      <c r="H612" s="7" t="s">
        <v>29</v>
      </c>
      <c r="I612" s="8">
        <f>32/100</f>
        <v>0.32</v>
      </c>
      <c r="J612" s="9">
        <v>0.3</v>
      </c>
      <c r="K612" s="11"/>
    </row>
    <row r="613">
      <c r="A613" s="11"/>
      <c r="B613" s="11"/>
      <c r="C613" s="11"/>
      <c r="D613" s="11"/>
      <c r="E613" s="15"/>
      <c r="F613" s="15"/>
      <c r="G613" s="15"/>
      <c r="H613" s="7" t="s">
        <v>31</v>
      </c>
      <c r="I613" s="8">
        <v>0.56</v>
      </c>
      <c r="J613" s="9">
        <v>0.35</v>
      </c>
      <c r="K613" s="11"/>
    </row>
    <row r="614">
      <c r="A614" s="11"/>
      <c r="B614" s="11"/>
      <c r="C614" s="11"/>
      <c r="D614" s="11"/>
      <c r="E614" s="5" t="s">
        <v>33</v>
      </c>
      <c r="F614" s="6">
        <f>(J614*I614)+(I615*J615)</f>
        <v>0.286</v>
      </c>
      <c r="G614" s="6">
        <v>0.15</v>
      </c>
      <c r="H614" s="7" t="s">
        <v>34</v>
      </c>
      <c r="I614" s="8">
        <v>0.3</v>
      </c>
      <c r="J614" s="9">
        <v>0.6</v>
      </c>
      <c r="K614" s="11"/>
    </row>
    <row r="615">
      <c r="A615" s="11"/>
      <c r="B615" s="15"/>
      <c r="C615" s="15"/>
      <c r="D615" s="15"/>
      <c r="E615" s="15"/>
      <c r="F615" s="15"/>
      <c r="G615" s="15"/>
      <c r="H615" s="7" t="s">
        <v>36</v>
      </c>
      <c r="I615" s="13">
        <f>1.06/4</f>
        <v>0.265</v>
      </c>
      <c r="J615" s="9">
        <v>0.4</v>
      </c>
      <c r="K615" s="11"/>
    </row>
    <row r="616">
      <c r="A616" s="11"/>
      <c r="B616" s="16" t="s">
        <v>38</v>
      </c>
      <c r="C616" s="17">
        <f>(G616*F616)+(F620*G620)+(F624*G624)</f>
        <v>0.5017125</v>
      </c>
      <c r="D616" s="17">
        <v>0.2</v>
      </c>
      <c r="E616" s="18" t="s">
        <v>39</v>
      </c>
      <c r="F616" s="17">
        <f>(J616*I616)+(J617*I617)+(J618*I618)+(J619*I619)</f>
        <v>0.3995</v>
      </c>
      <c r="G616" s="17">
        <v>0.35</v>
      </c>
      <c r="H616" s="19" t="s">
        <v>40</v>
      </c>
      <c r="I616" s="20">
        <f>3/10</f>
        <v>0.3</v>
      </c>
      <c r="J616" s="21">
        <v>0.3</v>
      </c>
      <c r="K616" s="11"/>
    </row>
    <row r="617">
      <c r="A617" s="11"/>
      <c r="B617" s="11"/>
      <c r="C617" s="11"/>
      <c r="D617" s="11"/>
      <c r="E617" s="11"/>
      <c r="F617" s="11"/>
      <c r="G617" s="11"/>
      <c r="H617" s="19" t="s">
        <v>42</v>
      </c>
      <c r="I617" s="23">
        <f>2.56/4</f>
        <v>0.64</v>
      </c>
      <c r="J617" s="21">
        <v>0.2</v>
      </c>
      <c r="K617" s="11"/>
    </row>
    <row r="618">
      <c r="A618" s="11"/>
      <c r="B618" s="11"/>
      <c r="C618" s="11"/>
      <c r="D618" s="11"/>
      <c r="E618" s="11"/>
      <c r="F618" s="11"/>
      <c r="G618" s="11"/>
      <c r="H618" s="19" t="s">
        <v>44</v>
      </c>
      <c r="I618" s="20">
        <f>0.96/4</f>
        <v>0.24</v>
      </c>
      <c r="J618" s="21">
        <v>0.2</v>
      </c>
      <c r="K618" s="11"/>
    </row>
    <row r="619">
      <c r="A619" s="11"/>
      <c r="B619" s="11"/>
      <c r="C619" s="11"/>
      <c r="D619" s="11"/>
      <c r="E619" s="15"/>
      <c r="F619" s="15"/>
      <c r="G619" s="15"/>
      <c r="H619" s="19" t="s">
        <v>46</v>
      </c>
      <c r="I619" s="23">
        <f>1.78/4</f>
        <v>0.445</v>
      </c>
      <c r="J619" s="21">
        <v>0.3</v>
      </c>
      <c r="K619" s="11"/>
    </row>
    <row r="620">
      <c r="A620" s="11"/>
      <c r="B620" s="11"/>
      <c r="C620" s="11"/>
      <c r="D620" s="11"/>
      <c r="E620" s="18" t="s">
        <v>48</v>
      </c>
      <c r="F620" s="17">
        <f>(J620*I620)+(J621*I621)+(J622*I622)</f>
        <v>0.6355</v>
      </c>
      <c r="G620" s="17">
        <v>0.4</v>
      </c>
      <c r="H620" s="19" t="s">
        <v>49</v>
      </c>
      <c r="I620" s="20">
        <v>0.571</v>
      </c>
      <c r="J620" s="21">
        <v>0.5</v>
      </c>
      <c r="K620" s="11"/>
    </row>
    <row r="621">
      <c r="A621" s="11"/>
      <c r="B621" s="11"/>
      <c r="C621" s="11"/>
      <c r="D621" s="11"/>
      <c r="E621" s="11"/>
      <c r="F621" s="11"/>
      <c r="G621" s="11"/>
      <c r="H621" s="19" t="s">
        <v>51</v>
      </c>
      <c r="I621" s="20">
        <v>0.65</v>
      </c>
      <c r="J621" s="21">
        <v>0.3</v>
      </c>
      <c r="K621" s="11"/>
    </row>
    <row r="622">
      <c r="A622" s="11"/>
      <c r="B622" s="11"/>
      <c r="C622" s="11"/>
      <c r="D622" s="11"/>
      <c r="E622" s="11"/>
      <c r="F622" s="11"/>
      <c r="G622" s="11"/>
      <c r="H622" s="25" t="s">
        <v>53</v>
      </c>
      <c r="I622" s="47">
        <f>3.1/4</f>
        <v>0.775</v>
      </c>
      <c r="J622" s="17">
        <v>0.2</v>
      </c>
      <c r="K622" s="11"/>
    </row>
    <row r="623">
      <c r="A623" s="11"/>
      <c r="B623" s="11"/>
      <c r="C623" s="11"/>
      <c r="D623" s="11"/>
      <c r="E623" s="15"/>
      <c r="F623" s="15"/>
      <c r="G623" s="15"/>
      <c r="H623" s="15"/>
      <c r="I623" s="15"/>
      <c r="J623" s="15"/>
      <c r="K623" s="11"/>
    </row>
    <row r="624">
      <c r="A624" s="11"/>
      <c r="B624" s="11"/>
      <c r="C624" s="11"/>
      <c r="D624" s="11"/>
      <c r="E624" s="18" t="s">
        <v>56</v>
      </c>
      <c r="F624" s="17">
        <f>(J624*I624)+(I625*J625)+(I626*J626)</f>
        <v>0.43075</v>
      </c>
      <c r="G624" s="17">
        <v>0.25</v>
      </c>
      <c r="H624" s="19" t="s">
        <v>57</v>
      </c>
      <c r="I624" s="23">
        <f>(100-37.9)/100</f>
        <v>0.621</v>
      </c>
      <c r="J624" s="21">
        <v>0.25</v>
      </c>
      <c r="K624" s="11"/>
    </row>
    <row r="625">
      <c r="A625" s="11"/>
      <c r="B625" s="11"/>
      <c r="C625" s="11"/>
      <c r="D625" s="11"/>
      <c r="E625" s="11"/>
      <c r="F625" s="11"/>
      <c r="G625" s="11"/>
      <c r="H625" s="19" t="s">
        <v>58</v>
      </c>
      <c r="I625" s="20">
        <f>1.08/4</f>
        <v>0.27</v>
      </c>
      <c r="J625" s="21">
        <v>0.5</v>
      </c>
      <c r="K625" s="11"/>
    </row>
    <row r="626">
      <c r="A626" s="11"/>
      <c r="B626" s="15"/>
      <c r="C626" s="15"/>
      <c r="D626" s="15"/>
      <c r="E626" s="15"/>
      <c r="F626" s="15"/>
      <c r="G626" s="15"/>
      <c r="H626" s="19" t="s">
        <v>59</v>
      </c>
      <c r="I626" s="23">
        <f>(100-43.8)/100</f>
        <v>0.562</v>
      </c>
      <c r="J626" s="21">
        <v>0.25</v>
      </c>
      <c r="K626" s="11"/>
    </row>
    <row r="627">
      <c r="A627" s="11"/>
      <c r="B627" s="27" t="s">
        <v>60</v>
      </c>
      <c r="C627" s="28">
        <f>(G627*F627)+(F629*G629)</f>
        <v>0.4727</v>
      </c>
      <c r="D627" s="28">
        <v>0.2</v>
      </c>
      <c r="E627" s="29" t="s">
        <v>61</v>
      </c>
      <c r="F627" s="28">
        <f>(J627*I627)+(I628*J628)</f>
        <v>0.7326666667</v>
      </c>
      <c r="G627" s="28">
        <v>0.45</v>
      </c>
      <c r="H627" s="30" t="s">
        <v>62</v>
      </c>
      <c r="I627" s="31">
        <v>0.71</v>
      </c>
      <c r="J627" s="32">
        <v>0.6</v>
      </c>
      <c r="K627" s="11"/>
    </row>
    <row r="628">
      <c r="A628" s="11"/>
      <c r="B628" s="11"/>
      <c r="C628" s="11"/>
      <c r="D628" s="11"/>
      <c r="E628" s="15"/>
      <c r="F628" s="15"/>
      <c r="G628" s="15"/>
      <c r="H628" s="30" t="s">
        <v>63</v>
      </c>
      <c r="I628" s="33">
        <f>2.3/3</f>
        <v>0.7666666667</v>
      </c>
      <c r="J628" s="32">
        <v>0.4</v>
      </c>
      <c r="K628" s="11"/>
    </row>
    <row r="629">
      <c r="A629" s="11"/>
      <c r="B629" s="11"/>
      <c r="C629" s="11"/>
      <c r="D629" s="11"/>
      <c r="E629" s="29" t="s">
        <v>64</v>
      </c>
      <c r="F629" s="28">
        <f>(J629*I629)+(I630*J630)</f>
        <v>0.26</v>
      </c>
      <c r="G629" s="28">
        <v>0.55</v>
      </c>
      <c r="H629" s="30" t="s">
        <v>65</v>
      </c>
      <c r="I629" s="33">
        <f>((5+4+4)/3)/10</f>
        <v>0.4333333333</v>
      </c>
      <c r="J629" s="32">
        <v>0.6</v>
      </c>
      <c r="K629" s="11"/>
    </row>
    <row r="630">
      <c r="A630" s="11"/>
      <c r="B630" s="15"/>
      <c r="C630" s="15"/>
      <c r="D630" s="15"/>
      <c r="E630" s="15"/>
      <c r="F630" s="15"/>
      <c r="G630" s="15"/>
      <c r="H630" s="30" t="s">
        <v>66</v>
      </c>
      <c r="I630" s="31"/>
      <c r="J630" s="32">
        <v>0.4</v>
      </c>
      <c r="K630" s="11"/>
    </row>
    <row r="631">
      <c r="A631" s="11"/>
      <c r="B631" s="34" t="s">
        <v>67</v>
      </c>
      <c r="C631" s="35">
        <f>(F631*G631)+(F635*G635)</f>
        <v>0.57191875</v>
      </c>
      <c r="D631" s="35">
        <v>0.2</v>
      </c>
      <c r="E631" s="36" t="s">
        <v>68</v>
      </c>
      <c r="F631" s="35">
        <f>(J631*I631)+(J632*I632)+(J633*I633)+(J634*I634)</f>
        <v>0.559375</v>
      </c>
      <c r="G631" s="35">
        <v>0.55</v>
      </c>
      <c r="H631" s="37" t="s">
        <v>69</v>
      </c>
      <c r="I631" s="38">
        <v>0.31</v>
      </c>
      <c r="J631" s="39">
        <v>0.35</v>
      </c>
      <c r="K631" s="11"/>
    </row>
    <row r="632">
      <c r="A632" s="11"/>
      <c r="B632" s="11"/>
      <c r="C632" s="11"/>
      <c r="D632" s="11"/>
      <c r="E632" s="11"/>
      <c r="F632" s="11"/>
      <c r="G632" s="11"/>
      <c r="H632" s="37" t="s">
        <v>70</v>
      </c>
      <c r="I632" s="40">
        <f>2.32/4</f>
        <v>0.58</v>
      </c>
      <c r="J632" s="39">
        <v>0.35</v>
      </c>
      <c r="K632" s="11"/>
    </row>
    <row r="633">
      <c r="A633" s="11"/>
      <c r="B633" s="11"/>
      <c r="C633" s="11"/>
      <c r="D633" s="11"/>
      <c r="E633" s="11"/>
      <c r="F633" s="11"/>
      <c r="G633" s="11"/>
      <c r="H633" s="37" t="s">
        <v>71</v>
      </c>
      <c r="I633" s="40">
        <f>2.61/4</f>
        <v>0.6525</v>
      </c>
      <c r="J633" s="39">
        <v>0.15</v>
      </c>
      <c r="K633" s="11"/>
    </row>
    <row r="634">
      <c r="A634" s="11"/>
      <c r="B634" s="11"/>
      <c r="C634" s="11"/>
      <c r="D634" s="11"/>
      <c r="E634" s="15"/>
      <c r="F634" s="15"/>
      <c r="G634" s="15"/>
      <c r="H634" s="37" t="s">
        <v>72</v>
      </c>
      <c r="I634" s="38">
        <v>1.0</v>
      </c>
      <c r="J634" s="39">
        <v>0.15</v>
      </c>
      <c r="K634" s="11"/>
    </row>
    <row r="635">
      <c r="A635" s="11"/>
      <c r="B635" s="11"/>
      <c r="C635" s="11"/>
      <c r="D635" s="11"/>
      <c r="E635" s="34" t="s">
        <v>73</v>
      </c>
      <c r="F635" s="35">
        <f>(J635*I635)+(I636*J636)+(I637*J637)</f>
        <v>0.58725</v>
      </c>
      <c r="G635" s="35">
        <v>0.45</v>
      </c>
      <c r="H635" s="37" t="s">
        <v>74</v>
      </c>
      <c r="I635" s="38">
        <f>2.92/4</f>
        <v>0.73</v>
      </c>
      <c r="J635" s="39">
        <v>0.3</v>
      </c>
      <c r="K635" s="11"/>
    </row>
    <row r="636">
      <c r="A636" s="11"/>
      <c r="B636" s="11"/>
      <c r="C636" s="11"/>
      <c r="D636" s="11"/>
      <c r="E636" s="11"/>
      <c r="F636" s="11"/>
      <c r="G636" s="11"/>
      <c r="H636" s="37" t="s">
        <v>75</v>
      </c>
      <c r="I636" s="40">
        <f>2.11/4</f>
        <v>0.5275</v>
      </c>
      <c r="J636" s="39">
        <v>0.3</v>
      </c>
      <c r="K636" s="11"/>
    </row>
    <row r="637">
      <c r="A637" s="11"/>
      <c r="B637" s="15"/>
      <c r="C637" s="15"/>
      <c r="D637" s="15"/>
      <c r="E637" s="15"/>
      <c r="F637" s="15"/>
      <c r="G637" s="15"/>
      <c r="H637" s="37" t="s">
        <v>76</v>
      </c>
      <c r="I637" s="40">
        <f>2.1/4</f>
        <v>0.525</v>
      </c>
      <c r="J637" s="39">
        <v>0.4</v>
      </c>
      <c r="K637" s="11"/>
    </row>
    <row r="638">
      <c r="A638" s="11"/>
      <c r="B638" s="41" t="s">
        <v>77</v>
      </c>
      <c r="C638" s="42">
        <f>(F638*G638)+(F640*G640)</f>
        <v>0.016</v>
      </c>
      <c r="D638" s="42">
        <v>0.1</v>
      </c>
      <c r="E638" s="41" t="s">
        <v>81</v>
      </c>
      <c r="F638" s="42">
        <f>(J640*I640)+(I641*J641)</f>
        <v>0.016</v>
      </c>
      <c r="G638" s="42">
        <v>1.0</v>
      </c>
      <c r="H638" s="88" t="s">
        <v>82</v>
      </c>
      <c r="I638" s="41">
        <v>0.0</v>
      </c>
      <c r="J638" s="82">
        <v>0.6</v>
      </c>
      <c r="K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>
      <c r="A640" s="11"/>
      <c r="B640" s="11"/>
      <c r="C640" s="11"/>
      <c r="D640" s="11"/>
      <c r="E640" s="11"/>
      <c r="F640" s="11"/>
      <c r="G640" s="11"/>
      <c r="H640" s="15"/>
      <c r="I640" s="15"/>
      <c r="J640" s="15"/>
      <c r="K640" s="11"/>
    </row>
    <row r="641">
      <c r="A641" s="15"/>
      <c r="B641" s="15"/>
      <c r="C641" s="15"/>
      <c r="D641" s="15"/>
      <c r="E641" s="15"/>
      <c r="F641" s="15"/>
      <c r="G641" s="15"/>
      <c r="H641" s="43" t="s">
        <v>83</v>
      </c>
      <c r="I641" s="44">
        <v>0.04</v>
      </c>
      <c r="J641" s="46">
        <v>0.4</v>
      </c>
      <c r="K641" s="15"/>
    </row>
  </sheetData>
  <mergeCells count="944">
    <mergeCell ref="E2:E5"/>
    <mergeCell ref="E6:E7"/>
    <mergeCell ref="F6:F7"/>
    <mergeCell ref="G6:G7"/>
    <mergeCell ref="E8:E10"/>
    <mergeCell ref="F8:F10"/>
    <mergeCell ref="D2:D12"/>
    <mergeCell ref="E11:E12"/>
    <mergeCell ref="F11:F12"/>
    <mergeCell ref="G11:G12"/>
    <mergeCell ref="B13:B23"/>
    <mergeCell ref="C13:C23"/>
    <mergeCell ref="F13:F16"/>
    <mergeCell ref="G13:G16"/>
    <mergeCell ref="D13:D23"/>
    <mergeCell ref="E13:E16"/>
    <mergeCell ref="E17:E20"/>
    <mergeCell ref="E21:E23"/>
    <mergeCell ref="F17:F20"/>
    <mergeCell ref="G17:G20"/>
    <mergeCell ref="H19:H20"/>
    <mergeCell ref="I19:I20"/>
    <mergeCell ref="F2:F5"/>
    <mergeCell ref="F21:F23"/>
    <mergeCell ref="C24:C27"/>
    <mergeCell ref="D24:D27"/>
    <mergeCell ref="E24:E25"/>
    <mergeCell ref="F24:F25"/>
    <mergeCell ref="G24:G25"/>
    <mergeCell ref="E26:E27"/>
    <mergeCell ref="B2:B12"/>
    <mergeCell ref="B24:B27"/>
    <mergeCell ref="F35:F36"/>
    <mergeCell ref="G35:G36"/>
    <mergeCell ref="E37:E38"/>
    <mergeCell ref="F37:F38"/>
    <mergeCell ref="A2:A38"/>
    <mergeCell ref="C2:C12"/>
    <mergeCell ref="G2:G5"/>
    <mergeCell ref="K2:K38"/>
    <mergeCell ref="G8:G10"/>
    <mergeCell ref="J19:J20"/>
    <mergeCell ref="G21:G23"/>
    <mergeCell ref="G37:G38"/>
    <mergeCell ref="F51:F52"/>
    <mergeCell ref="G51:G52"/>
    <mergeCell ref="F53:F56"/>
    <mergeCell ref="G53:G56"/>
    <mergeCell ref="F57:F60"/>
    <mergeCell ref="G57:G60"/>
    <mergeCell ref="H59:H60"/>
    <mergeCell ref="I59:I60"/>
    <mergeCell ref="G61:G63"/>
    <mergeCell ref="F64:F65"/>
    <mergeCell ref="G64:G65"/>
    <mergeCell ref="F66:F67"/>
    <mergeCell ref="G66:G67"/>
    <mergeCell ref="F68:F71"/>
    <mergeCell ref="G68:G71"/>
    <mergeCell ref="C82:C92"/>
    <mergeCell ref="B93:B103"/>
    <mergeCell ref="C93:C103"/>
    <mergeCell ref="B35:B38"/>
    <mergeCell ref="C35:C38"/>
    <mergeCell ref="A42:A78"/>
    <mergeCell ref="B42:B52"/>
    <mergeCell ref="C42:C52"/>
    <mergeCell ref="C53:C63"/>
    <mergeCell ref="A82:A118"/>
    <mergeCell ref="B68:B74"/>
    <mergeCell ref="C68:C74"/>
    <mergeCell ref="B75:B78"/>
    <mergeCell ref="C75:C78"/>
    <mergeCell ref="B53:B63"/>
    <mergeCell ref="B82:B92"/>
    <mergeCell ref="B104:B107"/>
    <mergeCell ref="C104:C107"/>
    <mergeCell ref="B108:B114"/>
    <mergeCell ref="C108:C114"/>
    <mergeCell ref="B162:B172"/>
    <mergeCell ref="B173:B183"/>
    <mergeCell ref="C173:C183"/>
    <mergeCell ref="C184:C187"/>
    <mergeCell ref="B184:B187"/>
    <mergeCell ref="B188:B194"/>
    <mergeCell ref="G213:G216"/>
    <mergeCell ref="F221:F223"/>
    <mergeCell ref="G221:G223"/>
    <mergeCell ref="C162:C172"/>
    <mergeCell ref="C188:C194"/>
    <mergeCell ref="C195:C198"/>
    <mergeCell ref="C202:C212"/>
    <mergeCell ref="K202:K238"/>
    <mergeCell ref="C213:C223"/>
    <mergeCell ref="J219:J220"/>
    <mergeCell ref="B115:B118"/>
    <mergeCell ref="C115:C118"/>
    <mergeCell ref="C122:C132"/>
    <mergeCell ref="C133:C143"/>
    <mergeCell ref="C144:C147"/>
    <mergeCell ref="C148:C154"/>
    <mergeCell ref="C155:C158"/>
    <mergeCell ref="A162:A198"/>
    <mergeCell ref="A202:A238"/>
    <mergeCell ref="B202:B212"/>
    <mergeCell ref="B213:B223"/>
    <mergeCell ref="B224:B227"/>
    <mergeCell ref="B228:B234"/>
    <mergeCell ref="B235:B238"/>
    <mergeCell ref="C235:C238"/>
    <mergeCell ref="D235:D238"/>
    <mergeCell ref="A122:A158"/>
    <mergeCell ref="B122:B132"/>
    <mergeCell ref="B133:B143"/>
    <mergeCell ref="B144:B147"/>
    <mergeCell ref="B148:B154"/>
    <mergeCell ref="B155:B158"/>
    <mergeCell ref="B195:B198"/>
    <mergeCell ref="E213:E216"/>
    <mergeCell ref="F213:F216"/>
    <mergeCell ref="H219:H220"/>
    <mergeCell ref="I219:I220"/>
    <mergeCell ref="E237:E238"/>
    <mergeCell ref="F237:F238"/>
    <mergeCell ref="G237:G238"/>
    <mergeCell ref="F217:F220"/>
    <mergeCell ref="G217:G220"/>
    <mergeCell ref="F232:F234"/>
    <mergeCell ref="G232:G234"/>
    <mergeCell ref="E235:E236"/>
    <mergeCell ref="F235:F236"/>
    <mergeCell ref="G235:G236"/>
    <mergeCell ref="G228:G231"/>
    <mergeCell ref="E232:E234"/>
    <mergeCell ref="E246:E247"/>
    <mergeCell ref="E251:E252"/>
    <mergeCell ref="F251:F252"/>
    <mergeCell ref="G251:G252"/>
    <mergeCell ref="E253:E256"/>
    <mergeCell ref="F253:F256"/>
    <mergeCell ref="E242:E245"/>
    <mergeCell ref="E257:E260"/>
    <mergeCell ref="F257:F260"/>
    <mergeCell ref="G257:G260"/>
    <mergeCell ref="H259:H260"/>
    <mergeCell ref="I259:I260"/>
    <mergeCell ref="D213:D223"/>
    <mergeCell ref="E217:E220"/>
    <mergeCell ref="E221:E223"/>
    <mergeCell ref="C224:C227"/>
    <mergeCell ref="D224:D227"/>
    <mergeCell ref="E224:E225"/>
    <mergeCell ref="F224:F225"/>
    <mergeCell ref="G224:G225"/>
    <mergeCell ref="E226:E227"/>
    <mergeCell ref="F226:F227"/>
    <mergeCell ref="G226:G227"/>
    <mergeCell ref="F246:F247"/>
    <mergeCell ref="G246:G247"/>
    <mergeCell ref="E248:E250"/>
    <mergeCell ref="F248:F250"/>
    <mergeCell ref="C253:C263"/>
    <mergeCell ref="D253:D263"/>
    <mergeCell ref="F261:F263"/>
    <mergeCell ref="G261:G263"/>
    <mergeCell ref="J259:J260"/>
    <mergeCell ref="E261:E263"/>
    <mergeCell ref="E264:E265"/>
    <mergeCell ref="F264:F265"/>
    <mergeCell ref="G264:G265"/>
    <mergeCell ref="E266:E267"/>
    <mergeCell ref="F266:F267"/>
    <mergeCell ref="G266:G267"/>
    <mergeCell ref="E268:E271"/>
    <mergeCell ref="F268:F271"/>
    <mergeCell ref="G268:G271"/>
    <mergeCell ref="E272:E274"/>
    <mergeCell ref="F272:F274"/>
    <mergeCell ref="G272:G274"/>
    <mergeCell ref="G275:G276"/>
    <mergeCell ref="E277:E278"/>
    <mergeCell ref="F277:F278"/>
    <mergeCell ref="G277:G278"/>
    <mergeCell ref="F286:F287"/>
    <mergeCell ref="G286:G287"/>
    <mergeCell ref="E288:E290"/>
    <mergeCell ref="F288:F290"/>
    <mergeCell ref="E286:E287"/>
    <mergeCell ref="E291:E292"/>
    <mergeCell ref="F291:F292"/>
    <mergeCell ref="G291:G292"/>
    <mergeCell ref="E293:E296"/>
    <mergeCell ref="F293:F296"/>
    <mergeCell ref="E282:E285"/>
    <mergeCell ref="E297:E300"/>
    <mergeCell ref="F297:F300"/>
    <mergeCell ref="G297:G300"/>
    <mergeCell ref="H299:H300"/>
    <mergeCell ref="I299:I300"/>
    <mergeCell ref="C304:C307"/>
    <mergeCell ref="C308:C314"/>
    <mergeCell ref="D308:D314"/>
    <mergeCell ref="C315:C318"/>
    <mergeCell ref="D315:D318"/>
    <mergeCell ref="C322:C332"/>
    <mergeCell ref="D322:D332"/>
    <mergeCell ref="E362:E365"/>
    <mergeCell ref="F362:F365"/>
    <mergeCell ref="G362:G365"/>
    <mergeCell ref="B322:B332"/>
    <mergeCell ref="B333:B343"/>
    <mergeCell ref="C333:C343"/>
    <mergeCell ref="D333:D343"/>
    <mergeCell ref="B344:B347"/>
    <mergeCell ref="C344:C347"/>
    <mergeCell ref="D344:D347"/>
    <mergeCell ref="C388:C394"/>
    <mergeCell ref="D388:D394"/>
    <mergeCell ref="B373:B383"/>
    <mergeCell ref="C373:C383"/>
    <mergeCell ref="D373:D383"/>
    <mergeCell ref="B384:B387"/>
    <mergeCell ref="C384:C387"/>
    <mergeCell ref="D384:D387"/>
    <mergeCell ref="B388:B394"/>
    <mergeCell ref="G456:G459"/>
    <mergeCell ref="G460:G463"/>
    <mergeCell ref="G449:G450"/>
    <mergeCell ref="G464:G466"/>
    <mergeCell ref="G467:G468"/>
    <mergeCell ref="G469:G470"/>
    <mergeCell ref="G471:G474"/>
    <mergeCell ref="G475:G477"/>
    <mergeCell ref="G478:G479"/>
    <mergeCell ref="F434:F437"/>
    <mergeCell ref="G434:G437"/>
    <mergeCell ref="E427:E430"/>
    <mergeCell ref="F427:F430"/>
    <mergeCell ref="G427:G430"/>
    <mergeCell ref="E431:E433"/>
    <mergeCell ref="F431:F433"/>
    <mergeCell ref="G431:G433"/>
    <mergeCell ref="E434:E437"/>
    <mergeCell ref="E445:E448"/>
    <mergeCell ref="F445:F448"/>
    <mergeCell ref="G445:G448"/>
    <mergeCell ref="E449:E450"/>
    <mergeCell ref="E451:E453"/>
    <mergeCell ref="E454:E455"/>
    <mergeCell ref="E456:E459"/>
    <mergeCell ref="E460:E463"/>
    <mergeCell ref="E464:E466"/>
    <mergeCell ref="E467:E468"/>
    <mergeCell ref="E469:E470"/>
    <mergeCell ref="E471:E474"/>
    <mergeCell ref="E475:E477"/>
    <mergeCell ref="E478:E479"/>
    <mergeCell ref="E480:E481"/>
    <mergeCell ref="E485:E488"/>
    <mergeCell ref="F485:F488"/>
    <mergeCell ref="G485:G488"/>
    <mergeCell ref="E489:E490"/>
    <mergeCell ref="F491:F493"/>
    <mergeCell ref="G491:G493"/>
    <mergeCell ref="E491:E493"/>
    <mergeCell ref="E494:E495"/>
    <mergeCell ref="F494:F495"/>
    <mergeCell ref="G494:G495"/>
    <mergeCell ref="E496:E499"/>
    <mergeCell ref="F496:F499"/>
    <mergeCell ref="G496:G499"/>
    <mergeCell ref="E509:E510"/>
    <mergeCell ref="F509:F510"/>
    <mergeCell ref="G509:G510"/>
    <mergeCell ref="F328:F330"/>
    <mergeCell ref="F341:F343"/>
    <mergeCell ref="F355:F356"/>
    <mergeCell ref="G355:G356"/>
    <mergeCell ref="F357:F358"/>
    <mergeCell ref="G357:G358"/>
    <mergeCell ref="G366:G367"/>
    <mergeCell ref="F368:F370"/>
    <mergeCell ref="G368:G370"/>
    <mergeCell ref="F371:F372"/>
    <mergeCell ref="G371:G372"/>
    <mergeCell ref="F373:F376"/>
    <mergeCell ref="G373:G376"/>
    <mergeCell ref="F377:F380"/>
    <mergeCell ref="G377:G380"/>
    <mergeCell ref="H339:H340"/>
    <mergeCell ref="I339:I340"/>
    <mergeCell ref="F331:F332"/>
    <mergeCell ref="G331:G332"/>
    <mergeCell ref="E333:E336"/>
    <mergeCell ref="F333:F336"/>
    <mergeCell ref="G333:G336"/>
    <mergeCell ref="F337:F340"/>
    <mergeCell ref="G337:G340"/>
    <mergeCell ref="G341:G343"/>
    <mergeCell ref="F344:F345"/>
    <mergeCell ref="G344:G345"/>
    <mergeCell ref="F346:F347"/>
    <mergeCell ref="G346:G347"/>
    <mergeCell ref="F348:F351"/>
    <mergeCell ref="G348:G351"/>
    <mergeCell ref="F352:F354"/>
    <mergeCell ref="G352:G354"/>
    <mergeCell ref="E337:E340"/>
    <mergeCell ref="E341:E343"/>
    <mergeCell ref="E344:E345"/>
    <mergeCell ref="E346:E347"/>
    <mergeCell ref="E348:E351"/>
    <mergeCell ref="E352:E354"/>
    <mergeCell ref="E355:E356"/>
    <mergeCell ref="J379:J380"/>
    <mergeCell ref="F381:F383"/>
    <mergeCell ref="G381:G383"/>
    <mergeCell ref="F384:F385"/>
    <mergeCell ref="G384:G385"/>
    <mergeCell ref="F386:F387"/>
    <mergeCell ref="G386:G387"/>
    <mergeCell ref="F388:F391"/>
    <mergeCell ref="G388:G391"/>
    <mergeCell ref="F392:F394"/>
    <mergeCell ref="G392:G394"/>
    <mergeCell ref="F395:F396"/>
    <mergeCell ref="G395:G396"/>
    <mergeCell ref="F397:F398"/>
    <mergeCell ref="G397:G398"/>
    <mergeCell ref="E357:E358"/>
    <mergeCell ref="E366:E367"/>
    <mergeCell ref="E368:E370"/>
    <mergeCell ref="E371:E372"/>
    <mergeCell ref="E373:E376"/>
    <mergeCell ref="H379:H380"/>
    <mergeCell ref="I379:I380"/>
    <mergeCell ref="E377:E380"/>
    <mergeCell ref="E381:E383"/>
    <mergeCell ref="E384:E385"/>
    <mergeCell ref="E386:E387"/>
    <mergeCell ref="E388:E391"/>
    <mergeCell ref="E392:E394"/>
    <mergeCell ref="E395:E396"/>
    <mergeCell ref="E397:E398"/>
    <mergeCell ref="E401:E404"/>
    <mergeCell ref="F401:F404"/>
    <mergeCell ref="G401:G404"/>
    <mergeCell ref="E405:E406"/>
    <mergeCell ref="F405:F406"/>
    <mergeCell ref="G405:G406"/>
    <mergeCell ref="F412:F415"/>
    <mergeCell ref="G412:G415"/>
    <mergeCell ref="E407:E409"/>
    <mergeCell ref="F407:F409"/>
    <mergeCell ref="G407:G409"/>
    <mergeCell ref="E410:E411"/>
    <mergeCell ref="F410:F411"/>
    <mergeCell ref="G410:G411"/>
    <mergeCell ref="E412:E415"/>
    <mergeCell ref="E416:E419"/>
    <mergeCell ref="F416:F419"/>
    <mergeCell ref="G416:G419"/>
    <mergeCell ref="H418:H419"/>
    <mergeCell ref="I418:I419"/>
    <mergeCell ref="F420:F422"/>
    <mergeCell ref="G420:G422"/>
    <mergeCell ref="E420:E422"/>
    <mergeCell ref="E423:E424"/>
    <mergeCell ref="F423:F424"/>
    <mergeCell ref="G423:G424"/>
    <mergeCell ref="E425:E426"/>
    <mergeCell ref="F425:F426"/>
    <mergeCell ref="G425:G426"/>
    <mergeCell ref="I502:I503"/>
    <mergeCell ref="J502:J503"/>
    <mergeCell ref="K525:K561"/>
    <mergeCell ref="I542:I543"/>
    <mergeCell ref="J542:J543"/>
    <mergeCell ref="K401:K437"/>
    <mergeCell ref="J418:J419"/>
    <mergeCell ref="I434:I436"/>
    <mergeCell ref="J434:J436"/>
    <mergeCell ref="K445:K481"/>
    <mergeCell ref="J462:J463"/>
    <mergeCell ref="K485:K521"/>
    <mergeCell ref="F315:F316"/>
    <mergeCell ref="G315:G316"/>
    <mergeCell ref="K322:K358"/>
    <mergeCell ref="G326:G327"/>
    <mergeCell ref="G328:G330"/>
    <mergeCell ref="J339:J340"/>
    <mergeCell ref="K362:K398"/>
    <mergeCell ref="G451:G453"/>
    <mergeCell ref="G454:G455"/>
    <mergeCell ref="H462:H463"/>
    <mergeCell ref="I462:I463"/>
    <mergeCell ref="F464:F466"/>
    <mergeCell ref="F467:F468"/>
    <mergeCell ref="F469:F470"/>
    <mergeCell ref="F471:F474"/>
    <mergeCell ref="F475:F477"/>
    <mergeCell ref="F478:F479"/>
    <mergeCell ref="F480:F481"/>
    <mergeCell ref="F489:F490"/>
    <mergeCell ref="F326:F327"/>
    <mergeCell ref="F366:F367"/>
    <mergeCell ref="F449:F450"/>
    <mergeCell ref="F451:F453"/>
    <mergeCell ref="F454:F455"/>
    <mergeCell ref="F456:F459"/>
    <mergeCell ref="F460:F463"/>
    <mergeCell ref="G480:G481"/>
    <mergeCell ref="G489:G490"/>
    <mergeCell ref="H434:H436"/>
    <mergeCell ref="H502:H503"/>
    <mergeCell ref="E531:E533"/>
    <mergeCell ref="F531:F533"/>
    <mergeCell ref="G531:G533"/>
    <mergeCell ref="E534:E535"/>
    <mergeCell ref="F534:F535"/>
    <mergeCell ref="G534:G535"/>
    <mergeCell ref="E536:E539"/>
    <mergeCell ref="F536:F539"/>
    <mergeCell ref="G536:G539"/>
    <mergeCell ref="H542:H543"/>
    <mergeCell ref="G549:G550"/>
    <mergeCell ref="E551:E554"/>
    <mergeCell ref="F551:F554"/>
    <mergeCell ref="G551:G554"/>
    <mergeCell ref="F560:F561"/>
    <mergeCell ref="G560:G561"/>
    <mergeCell ref="E555:E557"/>
    <mergeCell ref="F555:F557"/>
    <mergeCell ref="G555:G557"/>
    <mergeCell ref="E558:E559"/>
    <mergeCell ref="F558:F559"/>
    <mergeCell ref="G558:G559"/>
    <mergeCell ref="E560:E561"/>
    <mergeCell ref="F48:F50"/>
    <mergeCell ref="F61:F63"/>
    <mergeCell ref="F75:F76"/>
    <mergeCell ref="G75:G76"/>
    <mergeCell ref="F88:F90"/>
    <mergeCell ref="G88:G90"/>
    <mergeCell ref="F91:F92"/>
    <mergeCell ref="G91:G92"/>
    <mergeCell ref="F93:F96"/>
    <mergeCell ref="G93:G96"/>
    <mergeCell ref="F97:F100"/>
    <mergeCell ref="G97:G100"/>
    <mergeCell ref="H99:H100"/>
    <mergeCell ref="I99:I100"/>
    <mergeCell ref="F86:F87"/>
    <mergeCell ref="F101:F103"/>
    <mergeCell ref="F77:F78"/>
    <mergeCell ref="G77:G78"/>
    <mergeCell ref="F82:F85"/>
    <mergeCell ref="G82:G85"/>
    <mergeCell ref="K82:K118"/>
    <mergeCell ref="G86:G87"/>
    <mergeCell ref="J99:J100"/>
    <mergeCell ref="F32:F34"/>
    <mergeCell ref="G32:G34"/>
    <mergeCell ref="K42:K78"/>
    <mergeCell ref="F46:F47"/>
    <mergeCell ref="G46:G47"/>
    <mergeCell ref="G48:G50"/>
    <mergeCell ref="J59:J60"/>
    <mergeCell ref="G101:G103"/>
    <mergeCell ref="F104:F105"/>
    <mergeCell ref="G104:G105"/>
    <mergeCell ref="F106:F107"/>
    <mergeCell ref="G106:G107"/>
    <mergeCell ref="F108:F111"/>
    <mergeCell ref="G108:G111"/>
    <mergeCell ref="F112:F114"/>
    <mergeCell ref="G112:G114"/>
    <mergeCell ref="F115:F116"/>
    <mergeCell ref="G115:G116"/>
    <mergeCell ref="F117:F118"/>
    <mergeCell ref="G117:G118"/>
    <mergeCell ref="F26:F27"/>
    <mergeCell ref="G26:G27"/>
    <mergeCell ref="B28:B34"/>
    <mergeCell ref="C28:C34"/>
    <mergeCell ref="D28:D34"/>
    <mergeCell ref="E28:E31"/>
    <mergeCell ref="E32:E34"/>
    <mergeCell ref="F28:F31"/>
    <mergeCell ref="G28:G31"/>
    <mergeCell ref="D35:D38"/>
    <mergeCell ref="E35:E36"/>
    <mergeCell ref="D42:D52"/>
    <mergeCell ref="E42:E45"/>
    <mergeCell ref="F42:F45"/>
    <mergeCell ref="G42:G45"/>
    <mergeCell ref="E46:E47"/>
    <mergeCell ref="B64:B67"/>
    <mergeCell ref="C64:C67"/>
    <mergeCell ref="D64:D67"/>
    <mergeCell ref="E64:E65"/>
    <mergeCell ref="E66:E67"/>
    <mergeCell ref="E68:E71"/>
    <mergeCell ref="E72:E74"/>
    <mergeCell ref="F72:F74"/>
    <mergeCell ref="G72:G74"/>
    <mergeCell ref="E48:E50"/>
    <mergeCell ref="E51:E52"/>
    <mergeCell ref="D53:D63"/>
    <mergeCell ref="E53:E56"/>
    <mergeCell ref="E57:E60"/>
    <mergeCell ref="E61:E63"/>
    <mergeCell ref="D68:D74"/>
    <mergeCell ref="D82:D92"/>
    <mergeCell ref="D93:D103"/>
    <mergeCell ref="D104:D107"/>
    <mergeCell ref="D108:D114"/>
    <mergeCell ref="D115:D118"/>
    <mergeCell ref="D122:D132"/>
    <mergeCell ref="D75:D78"/>
    <mergeCell ref="E75:E76"/>
    <mergeCell ref="E77:E78"/>
    <mergeCell ref="E82:E85"/>
    <mergeCell ref="E86:E87"/>
    <mergeCell ref="E88:E90"/>
    <mergeCell ref="E91:E92"/>
    <mergeCell ref="E93:E96"/>
    <mergeCell ref="E97:E100"/>
    <mergeCell ref="E101:E103"/>
    <mergeCell ref="E104:E105"/>
    <mergeCell ref="E106:E107"/>
    <mergeCell ref="E108:E111"/>
    <mergeCell ref="E112:E114"/>
    <mergeCell ref="F126:F127"/>
    <mergeCell ref="G126:G127"/>
    <mergeCell ref="E128:E130"/>
    <mergeCell ref="F128:F130"/>
    <mergeCell ref="F131:F132"/>
    <mergeCell ref="G131:G132"/>
    <mergeCell ref="F122:F125"/>
    <mergeCell ref="F141:F143"/>
    <mergeCell ref="E148:E151"/>
    <mergeCell ref="F148:F151"/>
    <mergeCell ref="G148:G151"/>
    <mergeCell ref="E152:E154"/>
    <mergeCell ref="F152:F154"/>
    <mergeCell ref="G152:G154"/>
    <mergeCell ref="E155:E156"/>
    <mergeCell ref="F155:F156"/>
    <mergeCell ref="G155:G156"/>
    <mergeCell ref="E157:E158"/>
    <mergeCell ref="F157:F158"/>
    <mergeCell ref="G157:G158"/>
    <mergeCell ref="F166:F167"/>
    <mergeCell ref="G166:G167"/>
    <mergeCell ref="E168:E170"/>
    <mergeCell ref="F168:F170"/>
    <mergeCell ref="E122:E125"/>
    <mergeCell ref="E166:E167"/>
    <mergeCell ref="F186:F187"/>
    <mergeCell ref="G186:G187"/>
    <mergeCell ref="E188:E191"/>
    <mergeCell ref="F188:F191"/>
    <mergeCell ref="G188:G191"/>
    <mergeCell ref="E192:E194"/>
    <mergeCell ref="F192:F194"/>
    <mergeCell ref="G192:G194"/>
    <mergeCell ref="E195:E196"/>
    <mergeCell ref="F195:F196"/>
    <mergeCell ref="G195:G196"/>
    <mergeCell ref="E197:E198"/>
    <mergeCell ref="F197:F198"/>
    <mergeCell ref="G197:G198"/>
    <mergeCell ref="E115:E116"/>
    <mergeCell ref="E117:E118"/>
    <mergeCell ref="G122:G125"/>
    <mergeCell ref="K122:K158"/>
    <mergeCell ref="G128:G130"/>
    <mergeCell ref="J139:J140"/>
    <mergeCell ref="K162:K198"/>
    <mergeCell ref="G168:G170"/>
    <mergeCell ref="E171:E172"/>
    <mergeCell ref="F171:F172"/>
    <mergeCell ref="G171:G172"/>
    <mergeCell ref="E173:E176"/>
    <mergeCell ref="F173:F176"/>
    <mergeCell ref="G173:G176"/>
    <mergeCell ref="E177:E180"/>
    <mergeCell ref="F177:F180"/>
    <mergeCell ref="G177:G180"/>
    <mergeCell ref="H179:H180"/>
    <mergeCell ref="I179:I180"/>
    <mergeCell ref="J179:J180"/>
    <mergeCell ref="E181:E183"/>
    <mergeCell ref="F181:F183"/>
    <mergeCell ref="G181:G183"/>
    <mergeCell ref="E184:E185"/>
    <mergeCell ref="F184:F185"/>
    <mergeCell ref="G184:G185"/>
    <mergeCell ref="E186:E187"/>
    <mergeCell ref="E126:E127"/>
    <mergeCell ref="E131:E132"/>
    <mergeCell ref="D133:D143"/>
    <mergeCell ref="E133:E136"/>
    <mergeCell ref="E137:E140"/>
    <mergeCell ref="E141:E143"/>
    <mergeCell ref="D144:D147"/>
    <mergeCell ref="D148:D154"/>
    <mergeCell ref="D155:D158"/>
    <mergeCell ref="D162:D172"/>
    <mergeCell ref="D173:D183"/>
    <mergeCell ref="D184:D187"/>
    <mergeCell ref="D188:D194"/>
    <mergeCell ref="D195:D198"/>
    <mergeCell ref="E206:E207"/>
    <mergeCell ref="E211:E212"/>
    <mergeCell ref="F211:F212"/>
    <mergeCell ref="G211:G212"/>
    <mergeCell ref="D202:D212"/>
    <mergeCell ref="E202:E205"/>
    <mergeCell ref="F202:F205"/>
    <mergeCell ref="G202:G205"/>
    <mergeCell ref="F206:F207"/>
    <mergeCell ref="G206:G207"/>
    <mergeCell ref="G208:G210"/>
    <mergeCell ref="F133:F136"/>
    <mergeCell ref="G133:G136"/>
    <mergeCell ref="F137:F140"/>
    <mergeCell ref="G137:G140"/>
    <mergeCell ref="H139:H140"/>
    <mergeCell ref="I139:I140"/>
    <mergeCell ref="G141:G143"/>
    <mergeCell ref="F144:F145"/>
    <mergeCell ref="G144:G145"/>
    <mergeCell ref="E144:E145"/>
    <mergeCell ref="E146:E147"/>
    <mergeCell ref="E162:E165"/>
    <mergeCell ref="F162:F165"/>
    <mergeCell ref="G162:G165"/>
    <mergeCell ref="F146:F147"/>
    <mergeCell ref="G146:G147"/>
    <mergeCell ref="E208:E210"/>
    <mergeCell ref="F208:F210"/>
    <mergeCell ref="F308:F311"/>
    <mergeCell ref="G308:G311"/>
    <mergeCell ref="F317:F318"/>
    <mergeCell ref="G317:G318"/>
    <mergeCell ref="F275:F276"/>
    <mergeCell ref="F282:F285"/>
    <mergeCell ref="G282:G285"/>
    <mergeCell ref="K282:K318"/>
    <mergeCell ref="G288:G290"/>
    <mergeCell ref="G293:G296"/>
    <mergeCell ref="J299:J300"/>
    <mergeCell ref="E228:E231"/>
    <mergeCell ref="F228:F231"/>
    <mergeCell ref="F242:F245"/>
    <mergeCell ref="G242:G245"/>
    <mergeCell ref="K242:K278"/>
    <mergeCell ref="G248:G250"/>
    <mergeCell ref="G253:G256"/>
    <mergeCell ref="F301:F303"/>
    <mergeCell ref="G301:G303"/>
    <mergeCell ref="F304:F305"/>
    <mergeCell ref="G304:G305"/>
    <mergeCell ref="F306:F307"/>
    <mergeCell ref="G306:G307"/>
    <mergeCell ref="F312:F314"/>
    <mergeCell ref="G312:G314"/>
    <mergeCell ref="E317:E318"/>
    <mergeCell ref="E322:E325"/>
    <mergeCell ref="F322:F325"/>
    <mergeCell ref="G322:G325"/>
    <mergeCell ref="E326:E327"/>
    <mergeCell ref="E328:E330"/>
    <mergeCell ref="E331:E332"/>
    <mergeCell ref="E275:E276"/>
    <mergeCell ref="E301:E303"/>
    <mergeCell ref="E304:E305"/>
    <mergeCell ref="E306:E307"/>
    <mergeCell ref="E308:E311"/>
    <mergeCell ref="E312:E314"/>
    <mergeCell ref="E315:E316"/>
    <mergeCell ref="F507:F508"/>
    <mergeCell ref="G507:G508"/>
    <mergeCell ref="E500:E503"/>
    <mergeCell ref="F500:F503"/>
    <mergeCell ref="G500:G503"/>
    <mergeCell ref="E504:E506"/>
    <mergeCell ref="F504:F506"/>
    <mergeCell ref="G504:G506"/>
    <mergeCell ref="E507:E508"/>
    <mergeCell ref="F518:F519"/>
    <mergeCell ref="G518:G519"/>
    <mergeCell ref="E511:E514"/>
    <mergeCell ref="F511:F514"/>
    <mergeCell ref="G511:G514"/>
    <mergeCell ref="E515:E517"/>
    <mergeCell ref="F515:F517"/>
    <mergeCell ref="G515:G517"/>
    <mergeCell ref="E518:E519"/>
    <mergeCell ref="F529:F530"/>
    <mergeCell ref="G529:G530"/>
    <mergeCell ref="E520:E521"/>
    <mergeCell ref="F520:F521"/>
    <mergeCell ref="G520:G521"/>
    <mergeCell ref="E525:E528"/>
    <mergeCell ref="F525:F528"/>
    <mergeCell ref="G525:G528"/>
    <mergeCell ref="E529:E530"/>
    <mergeCell ref="E549:E550"/>
    <mergeCell ref="F549:F550"/>
    <mergeCell ref="E565:E568"/>
    <mergeCell ref="F565:F568"/>
    <mergeCell ref="G565:G568"/>
    <mergeCell ref="E540:E543"/>
    <mergeCell ref="F540:F543"/>
    <mergeCell ref="G540:G543"/>
    <mergeCell ref="E544:E546"/>
    <mergeCell ref="F544:F546"/>
    <mergeCell ref="G544:G546"/>
    <mergeCell ref="E547:E548"/>
    <mergeCell ref="F571:F573"/>
    <mergeCell ref="G571:G573"/>
    <mergeCell ref="E574:E575"/>
    <mergeCell ref="F574:F575"/>
    <mergeCell ref="F576:F579"/>
    <mergeCell ref="G576:G579"/>
    <mergeCell ref="E580:E583"/>
    <mergeCell ref="F580:F583"/>
    <mergeCell ref="G580:G583"/>
    <mergeCell ref="H582:H583"/>
    <mergeCell ref="I582:I583"/>
    <mergeCell ref="J582:J583"/>
    <mergeCell ref="E571:E573"/>
    <mergeCell ref="E576:E579"/>
    <mergeCell ref="E584:E586"/>
    <mergeCell ref="F584:F586"/>
    <mergeCell ref="G584:G586"/>
    <mergeCell ref="E587:E588"/>
    <mergeCell ref="F587:F588"/>
    <mergeCell ref="G587:G588"/>
    <mergeCell ref="E589:E590"/>
    <mergeCell ref="F589:F590"/>
    <mergeCell ref="E595:E597"/>
    <mergeCell ref="F595:F597"/>
    <mergeCell ref="G595:G597"/>
    <mergeCell ref="E598:E599"/>
    <mergeCell ref="F598:F599"/>
    <mergeCell ref="G598:G599"/>
    <mergeCell ref="E600:E601"/>
    <mergeCell ref="F600:F601"/>
    <mergeCell ref="E605:E608"/>
    <mergeCell ref="F605:F608"/>
    <mergeCell ref="G605:G608"/>
    <mergeCell ref="F629:F630"/>
    <mergeCell ref="G629:G630"/>
    <mergeCell ref="E624:E626"/>
    <mergeCell ref="F624:F626"/>
    <mergeCell ref="G624:G626"/>
    <mergeCell ref="E627:E628"/>
    <mergeCell ref="F627:F628"/>
    <mergeCell ref="G627:G628"/>
    <mergeCell ref="E629:E630"/>
    <mergeCell ref="F638:F641"/>
    <mergeCell ref="G638:G641"/>
    <mergeCell ref="E631:E634"/>
    <mergeCell ref="F631:F634"/>
    <mergeCell ref="G631:G634"/>
    <mergeCell ref="E635:E637"/>
    <mergeCell ref="F635:F637"/>
    <mergeCell ref="G635:G637"/>
    <mergeCell ref="E638:E641"/>
    <mergeCell ref="G589:G590"/>
    <mergeCell ref="E591:E594"/>
    <mergeCell ref="F591:F594"/>
    <mergeCell ref="G591:G594"/>
    <mergeCell ref="K565:K601"/>
    <mergeCell ref="K605:K641"/>
    <mergeCell ref="F547:F548"/>
    <mergeCell ref="G547:G548"/>
    <mergeCell ref="E569:E570"/>
    <mergeCell ref="F569:F570"/>
    <mergeCell ref="G569:G570"/>
    <mergeCell ref="G574:G575"/>
    <mergeCell ref="G600:G601"/>
    <mergeCell ref="F614:F615"/>
    <mergeCell ref="G614:G615"/>
    <mergeCell ref="E609:E610"/>
    <mergeCell ref="F609:F610"/>
    <mergeCell ref="G609:G610"/>
    <mergeCell ref="E611:E613"/>
    <mergeCell ref="F611:F613"/>
    <mergeCell ref="G611:G613"/>
    <mergeCell ref="E614:E615"/>
    <mergeCell ref="I622:I623"/>
    <mergeCell ref="J622:J623"/>
    <mergeCell ref="H638:H640"/>
    <mergeCell ref="I638:I640"/>
    <mergeCell ref="J638:J640"/>
    <mergeCell ref="E616:E619"/>
    <mergeCell ref="F616:F619"/>
    <mergeCell ref="G616:G619"/>
    <mergeCell ref="E620:E623"/>
    <mergeCell ref="F620:F623"/>
    <mergeCell ref="G620:G623"/>
    <mergeCell ref="H622:H623"/>
    <mergeCell ref="C536:C546"/>
    <mergeCell ref="D536:D546"/>
    <mergeCell ref="B518:B521"/>
    <mergeCell ref="C518:C521"/>
    <mergeCell ref="D518:D521"/>
    <mergeCell ref="B525:B535"/>
    <mergeCell ref="C525:C535"/>
    <mergeCell ref="D525:D535"/>
    <mergeCell ref="B536:B546"/>
    <mergeCell ref="C587:C590"/>
    <mergeCell ref="D587:D590"/>
    <mergeCell ref="B565:B575"/>
    <mergeCell ref="C565:C575"/>
    <mergeCell ref="D565:D575"/>
    <mergeCell ref="B576:B586"/>
    <mergeCell ref="C576:C586"/>
    <mergeCell ref="D576:D586"/>
    <mergeCell ref="B587:B590"/>
    <mergeCell ref="C605:C615"/>
    <mergeCell ref="D605:D615"/>
    <mergeCell ref="B591:B597"/>
    <mergeCell ref="C591:C597"/>
    <mergeCell ref="D591:D597"/>
    <mergeCell ref="B598:B601"/>
    <mergeCell ref="C598:C601"/>
    <mergeCell ref="D598:D601"/>
    <mergeCell ref="B605:B615"/>
    <mergeCell ref="C631:C637"/>
    <mergeCell ref="D631:D637"/>
    <mergeCell ref="B638:B641"/>
    <mergeCell ref="C638:C641"/>
    <mergeCell ref="A565:A601"/>
    <mergeCell ref="A605:A641"/>
    <mergeCell ref="B616:B626"/>
    <mergeCell ref="C616:C626"/>
    <mergeCell ref="D616:D626"/>
    <mergeCell ref="C627:C630"/>
    <mergeCell ref="D627:D630"/>
    <mergeCell ref="D638:D641"/>
    <mergeCell ref="B264:B267"/>
    <mergeCell ref="C264:C267"/>
    <mergeCell ref="C268:C274"/>
    <mergeCell ref="D268:D274"/>
    <mergeCell ref="C228:C234"/>
    <mergeCell ref="D228:D234"/>
    <mergeCell ref="A242:A278"/>
    <mergeCell ref="B242:B252"/>
    <mergeCell ref="C242:C252"/>
    <mergeCell ref="D242:D252"/>
    <mergeCell ref="D264:D267"/>
    <mergeCell ref="D275:D278"/>
    <mergeCell ref="B275:B278"/>
    <mergeCell ref="C275:C278"/>
    <mergeCell ref="C282:C292"/>
    <mergeCell ref="D282:D292"/>
    <mergeCell ref="C293:C303"/>
    <mergeCell ref="D293:D303"/>
    <mergeCell ref="D304:D307"/>
    <mergeCell ref="B253:B263"/>
    <mergeCell ref="B268:B274"/>
    <mergeCell ref="B282:B292"/>
    <mergeCell ref="B293:B303"/>
    <mergeCell ref="B304:B307"/>
    <mergeCell ref="B308:B314"/>
    <mergeCell ref="B315:B318"/>
    <mergeCell ref="A282:A318"/>
    <mergeCell ref="A322:A358"/>
    <mergeCell ref="A362:A398"/>
    <mergeCell ref="A401:A437"/>
    <mergeCell ref="A445:A481"/>
    <mergeCell ref="A485:A521"/>
    <mergeCell ref="A525:A561"/>
    <mergeCell ref="B627:B630"/>
    <mergeCell ref="B631:B637"/>
    <mergeCell ref="C362:C372"/>
    <mergeCell ref="D362:D372"/>
    <mergeCell ref="B348:B354"/>
    <mergeCell ref="C348:C354"/>
    <mergeCell ref="D348:D354"/>
    <mergeCell ref="B355:B358"/>
    <mergeCell ref="C355:C358"/>
    <mergeCell ref="D355:D358"/>
    <mergeCell ref="B362:B372"/>
    <mergeCell ref="C412:C422"/>
    <mergeCell ref="D412:D422"/>
    <mergeCell ref="B395:B398"/>
    <mergeCell ref="C395:C398"/>
    <mergeCell ref="D395:D398"/>
    <mergeCell ref="B401:B411"/>
    <mergeCell ref="C401:C411"/>
    <mergeCell ref="D401:D411"/>
    <mergeCell ref="B412:B422"/>
    <mergeCell ref="C434:C437"/>
    <mergeCell ref="D434:D437"/>
    <mergeCell ref="B423:B426"/>
    <mergeCell ref="C423:C426"/>
    <mergeCell ref="D423:D426"/>
    <mergeCell ref="B427:B433"/>
    <mergeCell ref="C427:C433"/>
    <mergeCell ref="D427:D433"/>
    <mergeCell ref="B434:B437"/>
    <mergeCell ref="C467:C470"/>
    <mergeCell ref="D467:D470"/>
    <mergeCell ref="B445:B455"/>
    <mergeCell ref="C445:C455"/>
    <mergeCell ref="D445:D455"/>
    <mergeCell ref="B456:B466"/>
    <mergeCell ref="C456:C466"/>
    <mergeCell ref="D456:D466"/>
    <mergeCell ref="B467:B470"/>
    <mergeCell ref="C485:C495"/>
    <mergeCell ref="D485:D495"/>
    <mergeCell ref="B471:B477"/>
    <mergeCell ref="C471:C477"/>
    <mergeCell ref="D471:D477"/>
    <mergeCell ref="B478:B481"/>
    <mergeCell ref="C478:C481"/>
    <mergeCell ref="D478:D481"/>
    <mergeCell ref="B485:B495"/>
    <mergeCell ref="C511:C517"/>
    <mergeCell ref="D511:D517"/>
    <mergeCell ref="B496:B506"/>
    <mergeCell ref="C496:C506"/>
    <mergeCell ref="D496:D506"/>
    <mergeCell ref="B507:B510"/>
    <mergeCell ref="C507:C510"/>
    <mergeCell ref="D507:D510"/>
    <mergeCell ref="B511:B517"/>
    <mergeCell ref="C558:C561"/>
    <mergeCell ref="D558:D561"/>
    <mergeCell ref="B547:B550"/>
    <mergeCell ref="C547:C550"/>
    <mergeCell ref="D547:D550"/>
    <mergeCell ref="B551:B557"/>
    <mergeCell ref="C551:C557"/>
    <mergeCell ref="D551:D557"/>
    <mergeCell ref="B558:B56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13"/>
    <col customWidth="1" min="4" max="4" width="29.75"/>
  </cols>
  <sheetData>
    <row r="1">
      <c r="A1" s="89" t="s">
        <v>0</v>
      </c>
      <c r="B1" s="90" t="s">
        <v>115</v>
      </c>
      <c r="C1" s="90" t="s">
        <v>116</v>
      </c>
      <c r="D1" s="90" t="s">
        <v>117</v>
      </c>
      <c r="E1" s="90" t="s">
        <v>118</v>
      </c>
    </row>
    <row r="2">
      <c r="A2" s="91" t="s">
        <v>11</v>
      </c>
      <c r="B2" s="92" t="s">
        <v>119</v>
      </c>
      <c r="C2" s="92">
        <v>19.0</v>
      </c>
      <c r="D2" s="93">
        <v>61.0</v>
      </c>
      <c r="E2" s="93" t="s">
        <v>120</v>
      </c>
    </row>
    <row r="3">
      <c r="A3" s="15"/>
      <c r="B3" s="94" t="s">
        <v>121</v>
      </c>
      <c r="C3" s="94">
        <v>42.0</v>
      </c>
      <c r="D3" s="15"/>
      <c r="E3" s="15"/>
    </row>
    <row r="4">
      <c r="A4" s="91" t="s">
        <v>20</v>
      </c>
      <c r="B4" s="92" t="s">
        <v>119</v>
      </c>
      <c r="C4" s="92">
        <v>2.0</v>
      </c>
      <c r="D4" s="93">
        <v>20.0</v>
      </c>
      <c r="E4" s="93" t="s">
        <v>122</v>
      </c>
    </row>
    <row r="5">
      <c r="A5" s="15"/>
      <c r="B5" s="94" t="s">
        <v>121</v>
      </c>
      <c r="C5" s="94">
        <v>18.0</v>
      </c>
      <c r="D5" s="15"/>
      <c r="E5" s="15"/>
    </row>
    <row r="6">
      <c r="A6" s="91" t="s">
        <v>123</v>
      </c>
      <c r="B6" s="92" t="s">
        <v>119</v>
      </c>
      <c r="C6" s="92">
        <v>38.0</v>
      </c>
      <c r="D6" s="93">
        <v>92.0</v>
      </c>
      <c r="E6" s="93" t="s">
        <v>124</v>
      </c>
    </row>
    <row r="7">
      <c r="A7" s="15"/>
      <c r="B7" s="94" t="s">
        <v>121</v>
      </c>
      <c r="C7" s="94">
        <v>54.0</v>
      </c>
      <c r="D7" s="15"/>
      <c r="E7" s="15"/>
    </row>
    <row r="8">
      <c r="A8" s="91" t="s">
        <v>91</v>
      </c>
      <c r="B8" s="92" t="s">
        <v>119</v>
      </c>
      <c r="C8" s="92">
        <v>17.0</v>
      </c>
      <c r="D8" s="93">
        <v>46.0</v>
      </c>
      <c r="E8" s="93" t="s">
        <v>120</v>
      </c>
    </row>
    <row r="9">
      <c r="A9" s="15"/>
      <c r="B9" s="94" t="s">
        <v>121</v>
      </c>
      <c r="C9" s="94">
        <v>29.0</v>
      </c>
      <c r="D9" s="15"/>
      <c r="E9" s="15"/>
    </row>
    <row r="10">
      <c r="A10" s="91" t="s">
        <v>92</v>
      </c>
      <c r="B10" s="92" t="s">
        <v>119</v>
      </c>
      <c r="C10" s="92">
        <v>22.0</v>
      </c>
      <c r="D10" s="93">
        <v>51.0</v>
      </c>
      <c r="E10" s="93" t="s">
        <v>120</v>
      </c>
    </row>
    <row r="11">
      <c r="A11" s="15"/>
      <c r="B11" s="94" t="s">
        <v>121</v>
      </c>
      <c r="C11" s="94">
        <v>29.0</v>
      </c>
      <c r="D11" s="15"/>
      <c r="E11" s="15"/>
    </row>
    <row r="12">
      <c r="A12" s="91" t="s">
        <v>30</v>
      </c>
      <c r="B12" s="92" t="s">
        <v>119</v>
      </c>
      <c r="C12" s="92">
        <v>35.0</v>
      </c>
      <c r="D12" s="93">
        <v>80.0</v>
      </c>
      <c r="E12" s="93" t="s">
        <v>124</v>
      </c>
    </row>
    <row r="13">
      <c r="A13" s="15"/>
      <c r="B13" s="94" t="s">
        <v>121</v>
      </c>
      <c r="C13" s="94">
        <v>45.0</v>
      </c>
      <c r="D13" s="15"/>
      <c r="E13" s="15"/>
    </row>
    <row r="14">
      <c r="A14" s="91" t="s">
        <v>32</v>
      </c>
      <c r="B14" s="92" t="s">
        <v>119</v>
      </c>
      <c r="C14" s="92">
        <v>6.0</v>
      </c>
      <c r="D14" s="93">
        <v>28.0</v>
      </c>
      <c r="E14" s="93" t="s">
        <v>122</v>
      </c>
    </row>
    <row r="15">
      <c r="A15" s="15"/>
      <c r="B15" s="94" t="s">
        <v>121</v>
      </c>
      <c r="C15" s="94">
        <v>22.0</v>
      </c>
      <c r="D15" s="15"/>
      <c r="E15" s="15"/>
    </row>
    <row r="16">
      <c r="A16" s="91" t="s">
        <v>35</v>
      </c>
      <c r="B16" s="92" t="s">
        <v>119</v>
      </c>
      <c r="C16" s="92">
        <v>7.0</v>
      </c>
      <c r="D16" s="93">
        <v>33.0</v>
      </c>
      <c r="E16" s="93" t="s">
        <v>125</v>
      </c>
    </row>
    <row r="17">
      <c r="A17" s="15"/>
      <c r="B17" s="94" t="s">
        <v>121</v>
      </c>
      <c r="C17" s="94">
        <v>26.0</v>
      </c>
      <c r="D17" s="15"/>
      <c r="E17" s="15"/>
    </row>
    <row r="18">
      <c r="A18" s="91" t="s">
        <v>37</v>
      </c>
      <c r="B18" s="92" t="s">
        <v>119</v>
      </c>
      <c r="C18" s="92">
        <v>31.0</v>
      </c>
      <c r="D18" s="93">
        <v>65.0</v>
      </c>
      <c r="E18" s="93" t="s">
        <v>125</v>
      </c>
    </row>
    <row r="19">
      <c r="A19" s="15"/>
      <c r="B19" s="94" t="s">
        <v>121</v>
      </c>
      <c r="C19" s="94">
        <v>34.0</v>
      </c>
      <c r="D19" s="15"/>
      <c r="E19" s="15"/>
    </row>
    <row r="20">
      <c r="A20" s="91" t="s">
        <v>41</v>
      </c>
      <c r="B20" s="92" t="s">
        <v>119</v>
      </c>
      <c r="C20" s="92">
        <v>3.0</v>
      </c>
      <c r="D20" s="93">
        <v>21.0</v>
      </c>
      <c r="E20" s="93" t="s">
        <v>122</v>
      </c>
    </row>
    <row r="21">
      <c r="A21" s="15"/>
      <c r="B21" s="94" t="s">
        <v>121</v>
      </c>
      <c r="C21" s="94">
        <v>18.0</v>
      </c>
      <c r="D21" s="15"/>
      <c r="E21" s="15"/>
    </row>
    <row r="22">
      <c r="A22" s="91" t="s">
        <v>43</v>
      </c>
      <c r="B22" s="92" t="s">
        <v>119</v>
      </c>
      <c r="C22" s="92">
        <v>15.0</v>
      </c>
      <c r="D22" s="93">
        <v>38.0</v>
      </c>
      <c r="E22" s="93" t="s">
        <v>125</v>
      </c>
    </row>
    <row r="23">
      <c r="A23" s="15"/>
      <c r="B23" s="94" t="s">
        <v>121</v>
      </c>
      <c r="C23" s="94">
        <v>23.0</v>
      </c>
      <c r="D23" s="15"/>
      <c r="E23" s="15"/>
    </row>
    <row r="24">
      <c r="A24" s="91" t="s">
        <v>47</v>
      </c>
      <c r="B24" s="92" t="s">
        <v>119</v>
      </c>
      <c r="C24" s="92">
        <v>20.0</v>
      </c>
      <c r="D24" s="93">
        <v>44.0</v>
      </c>
      <c r="E24" s="93" t="s">
        <v>125</v>
      </c>
    </row>
    <row r="25">
      <c r="A25" s="15"/>
      <c r="B25" s="94" t="s">
        <v>121</v>
      </c>
      <c r="C25" s="94">
        <v>24.0</v>
      </c>
      <c r="D25" s="15"/>
      <c r="E25" s="15"/>
    </row>
    <row r="26">
      <c r="A26" s="91" t="s">
        <v>45</v>
      </c>
      <c r="B26" s="92" t="s">
        <v>119</v>
      </c>
      <c r="C26" s="92">
        <v>3.0</v>
      </c>
      <c r="D26" s="93">
        <v>27.0</v>
      </c>
      <c r="E26" s="93" t="s">
        <v>122</v>
      </c>
    </row>
    <row r="27">
      <c r="A27" s="15"/>
      <c r="B27" s="94" t="s">
        <v>121</v>
      </c>
      <c r="C27" s="94">
        <v>24.0</v>
      </c>
      <c r="D27" s="15"/>
      <c r="E27" s="15"/>
    </row>
    <row r="28">
      <c r="A28" s="91" t="s">
        <v>52</v>
      </c>
      <c r="B28" s="92" t="s">
        <v>119</v>
      </c>
      <c r="C28" s="92">
        <v>23.0</v>
      </c>
      <c r="D28" s="93">
        <v>61.0</v>
      </c>
      <c r="E28" s="93" t="s">
        <v>125</v>
      </c>
    </row>
    <row r="29">
      <c r="A29" s="15"/>
      <c r="B29" s="94" t="s">
        <v>121</v>
      </c>
      <c r="C29" s="94">
        <v>38.0</v>
      </c>
      <c r="D29" s="15"/>
      <c r="E29" s="15"/>
    </row>
    <row r="30">
      <c r="A30" s="91" t="s">
        <v>50</v>
      </c>
      <c r="B30" s="92" t="s">
        <v>119</v>
      </c>
      <c r="C30" s="92">
        <v>30.0</v>
      </c>
      <c r="D30" s="93">
        <v>70.0</v>
      </c>
      <c r="E30" s="93" t="s">
        <v>124</v>
      </c>
    </row>
    <row r="31">
      <c r="A31" s="15"/>
      <c r="B31" s="94" t="s">
        <v>121</v>
      </c>
      <c r="C31" s="94">
        <v>40.0</v>
      </c>
      <c r="D31" s="15"/>
      <c r="E31" s="15"/>
    </row>
    <row r="32">
      <c r="A32" s="91" t="s">
        <v>54</v>
      </c>
      <c r="B32" s="92" t="s">
        <v>119</v>
      </c>
      <c r="C32" s="92">
        <v>11.0</v>
      </c>
      <c r="D32" s="93">
        <v>37.0</v>
      </c>
      <c r="E32" s="93" t="s">
        <v>125</v>
      </c>
    </row>
    <row r="33">
      <c r="A33" s="15"/>
      <c r="B33" s="94" t="s">
        <v>121</v>
      </c>
      <c r="C33" s="94">
        <v>26.0</v>
      </c>
      <c r="D33" s="15"/>
      <c r="E33" s="15"/>
    </row>
    <row r="34">
      <c r="A34" s="95"/>
      <c r="B34" s="96"/>
      <c r="C34" s="96"/>
      <c r="D34" s="96"/>
      <c r="E34" s="96"/>
    </row>
    <row r="35">
      <c r="A35" s="95"/>
      <c r="B35" s="96"/>
      <c r="C35" s="96"/>
      <c r="D35" s="96"/>
      <c r="E35" s="96"/>
    </row>
    <row r="36">
      <c r="A36" s="95"/>
      <c r="B36" s="96"/>
      <c r="C36" s="96"/>
      <c r="D36" s="96"/>
      <c r="E36" s="96"/>
    </row>
    <row r="37">
      <c r="A37" s="95"/>
      <c r="B37" s="96"/>
      <c r="C37" s="96"/>
      <c r="D37" s="96"/>
      <c r="E37" s="96"/>
    </row>
    <row r="38">
      <c r="A38" s="95"/>
      <c r="B38" s="96"/>
      <c r="C38" s="96"/>
      <c r="D38" s="96"/>
      <c r="E38" s="96"/>
    </row>
    <row r="39">
      <c r="A39" s="95"/>
      <c r="B39" s="96"/>
      <c r="C39" s="96"/>
      <c r="D39" s="96"/>
      <c r="E39" s="96"/>
    </row>
    <row r="40">
      <c r="A40" s="95"/>
      <c r="B40" s="96"/>
      <c r="C40" s="96"/>
      <c r="D40" s="96"/>
      <c r="E40" s="96"/>
    </row>
    <row r="41">
      <c r="A41" s="95"/>
      <c r="B41" s="96"/>
      <c r="C41" s="96"/>
      <c r="D41" s="96"/>
      <c r="E41" s="96"/>
    </row>
    <row r="42">
      <c r="A42" s="95"/>
      <c r="B42" s="96"/>
      <c r="C42" s="96"/>
      <c r="D42" s="96"/>
      <c r="E42" s="96"/>
    </row>
    <row r="43">
      <c r="A43" s="95"/>
      <c r="B43" s="96"/>
      <c r="C43" s="96"/>
      <c r="D43" s="96"/>
      <c r="E43" s="96"/>
    </row>
    <row r="44">
      <c r="A44" s="95"/>
      <c r="B44" s="96"/>
      <c r="C44" s="96"/>
      <c r="D44" s="96"/>
      <c r="E44" s="96"/>
    </row>
    <row r="45">
      <c r="A45" s="95"/>
      <c r="B45" s="96"/>
      <c r="C45" s="96"/>
      <c r="D45" s="96"/>
      <c r="E45" s="96"/>
    </row>
    <row r="46">
      <c r="A46" s="95"/>
      <c r="B46" s="96"/>
      <c r="C46" s="96"/>
      <c r="D46" s="96"/>
      <c r="E46" s="96"/>
    </row>
    <row r="47">
      <c r="A47" s="95"/>
      <c r="B47" s="96"/>
      <c r="C47" s="96"/>
      <c r="D47" s="96"/>
      <c r="E47" s="96"/>
    </row>
    <row r="48">
      <c r="A48" s="95"/>
      <c r="B48" s="96"/>
      <c r="C48" s="96"/>
      <c r="D48" s="96"/>
      <c r="E48" s="96"/>
    </row>
    <row r="49">
      <c r="A49" s="95"/>
      <c r="B49" s="96"/>
      <c r="C49" s="96"/>
      <c r="D49" s="96"/>
      <c r="E49" s="96"/>
    </row>
    <row r="50">
      <c r="A50" s="95"/>
      <c r="B50" s="96"/>
      <c r="C50" s="96"/>
      <c r="D50" s="96"/>
      <c r="E50" s="96"/>
    </row>
    <row r="51">
      <c r="A51" s="95"/>
      <c r="B51" s="96"/>
      <c r="C51" s="96"/>
      <c r="D51" s="96"/>
      <c r="E51" s="96"/>
    </row>
    <row r="52">
      <c r="A52" s="95"/>
      <c r="B52" s="96"/>
      <c r="C52" s="96"/>
      <c r="D52" s="96"/>
      <c r="E52" s="96"/>
    </row>
    <row r="53">
      <c r="A53" s="95"/>
      <c r="B53" s="96"/>
      <c r="C53" s="96"/>
      <c r="D53" s="96"/>
      <c r="E53" s="96"/>
    </row>
    <row r="54">
      <c r="A54" s="95"/>
      <c r="B54" s="96"/>
      <c r="C54" s="96"/>
      <c r="D54" s="96"/>
      <c r="E54" s="96"/>
    </row>
    <row r="55">
      <c r="A55" s="95"/>
      <c r="B55" s="96"/>
      <c r="C55" s="96"/>
      <c r="D55" s="96"/>
      <c r="E55" s="96"/>
    </row>
    <row r="56">
      <c r="A56" s="95"/>
      <c r="B56" s="96"/>
      <c r="C56" s="96"/>
      <c r="D56" s="96"/>
      <c r="E56" s="96"/>
    </row>
    <row r="57">
      <c r="A57" s="95"/>
      <c r="B57" s="96"/>
      <c r="C57" s="96"/>
      <c r="D57" s="96"/>
      <c r="E57" s="96"/>
    </row>
    <row r="58">
      <c r="A58" s="95"/>
      <c r="B58" s="96"/>
      <c r="C58" s="96"/>
      <c r="D58" s="96"/>
      <c r="E58" s="96"/>
    </row>
    <row r="59">
      <c r="A59" s="95"/>
      <c r="B59" s="96"/>
      <c r="C59" s="96"/>
      <c r="D59" s="96"/>
      <c r="E59" s="96"/>
    </row>
    <row r="60">
      <c r="A60" s="95"/>
      <c r="B60" s="96"/>
      <c r="C60" s="96"/>
      <c r="D60" s="96"/>
      <c r="E60" s="96"/>
    </row>
    <row r="61">
      <c r="A61" s="95"/>
      <c r="B61" s="96"/>
      <c r="C61" s="96"/>
      <c r="D61" s="96"/>
      <c r="E61" s="96"/>
    </row>
    <row r="62">
      <c r="A62" s="95"/>
      <c r="B62" s="96"/>
      <c r="C62" s="96"/>
      <c r="D62" s="96"/>
      <c r="E62" s="96"/>
    </row>
    <row r="63">
      <c r="A63" s="95"/>
      <c r="B63" s="96"/>
      <c r="C63" s="96"/>
      <c r="D63" s="96"/>
      <c r="E63" s="96"/>
    </row>
    <row r="64">
      <c r="A64" s="95"/>
      <c r="B64" s="96"/>
      <c r="C64" s="96"/>
      <c r="D64" s="96"/>
      <c r="E64" s="96"/>
    </row>
    <row r="65">
      <c r="A65" s="95"/>
      <c r="B65" s="96"/>
      <c r="C65" s="96"/>
      <c r="D65" s="96"/>
      <c r="E65" s="96"/>
    </row>
    <row r="66">
      <c r="A66" s="95"/>
      <c r="B66" s="96"/>
      <c r="C66" s="96"/>
      <c r="D66" s="96"/>
      <c r="E66" s="96"/>
    </row>
    <row r="67">
      <c r="A67" s="95"/>
      <c r="B67" s="96"/>
      <c r="C67" s="96"/>
      <c r="D67" s="96"/>
      <c r="E67" s="96"/>
    </row>
    <row r="68">
      <c r="A68" s="95"/>
      <c r="B68" s="96"/>
      <c r="C68" s="96"/>
      <c r="D68" s="96"/>
      <c r="E68" s="96"/>
    </row>
    <row r="69">
      <c r="A69" s="95"/>
      <c r="B69" s="96"/>
      <c r="C69" s="96"/>
      <c r="D69" s="96"/>
      <c r="E69" s="96"/>
    </row>
    <row r="70">
      <c r="A70" s="95"/>
      <c r="B70" s="96"/>
      <c r="C70" s="96"/>
      <c r="D70" s="96"/>
      <c r="E70" s="96"/>
    </row>
    <row r="71">
      <c r="A71" s="95"/>
      <c r="B71" s="96"/>
      <c r="C71" s="96"/>
      <c r="D71" s="96"/>
      <c r="E71" s="96"/>
    </row>
    <row r="72">
      <c r="A72" s="95"/>
      <c r="B72" s="96"/>
      <c r="C72" s="96"/>
      <c r="D72" s="96"/>
      <c r="E72" s="96"/>
    </row>
    <row r="73">
      <c r="A73" s="95"/>
      <c r="B73" s="96"/>
      <c r="C73" s="96"/>
      <c r="D73" s="96"/>
      <c r="E73" s="96"/>
    </row>
    <row r="74">
      <c r="A74" s="95"/>
      <c r="B74" s="96"/>
      <c r="C74" s="96"/>
      <c r="D74" s="96"/>
      <c r="E74" s="96"/>
    </row>
    <row r="75">
      <c r="A75" s="95"/>
      <c r="B75" s="96"/>
      <c r="C75" s="96"/>
      <c r="D75" s="96"/>
      <c r="E75" s="96"/>
    </row>
    <row r="76">
      <c r="A76" s="95"/>
      <c r="B76" s="96"/>
      <c r="C76" s="96"/>
      <c r="D76" s="96"/>
      <c r="E76" s="96"/>
    </row>
    <row r="77">
      <c r="A77" s="95"/>
      <c r="B77" s="96"/>
      <c r="C77" s="96"/>
      <c r="D77" s="96"/>
      <c r="E77" s="96"/>
    </row>
    <row r="78">
      <c r="A78" s="95"/>
      <c r="B78" s="96"/>
      <c r="C78" s="96"/>
      <c r="D78" s="96"/>
      <c r="E78" s="96"/>
    </row>
    <row r="79">
      <c r="A79" s="95"/>
      <c r="B79" s="96"/>
      <c r="C79" s="96"/>
      <c r="D79" s="96"/>
      <c r="E79" s="96"/>
    </row>
    <row r="80">
      <c r="A80" s="95"/>
      <c r="B80" s="96"/>
      <c r="C80" s="96"/>
      <c r="D80" s="96"/>
      <c r="E80" s="96"/>
    </row>
    <row r="81">
      <c r="A81" s="95"/>
      <c r="B81" s="96"/>
      <c r="C81" s="96"/>
      <c r="D81" s="96"/>
      <c r="E81" s="96"/>
    </row>
    <row r="82">
      <c r="A82" s="95"/>
      <c r="B82" s="96"/>
      <c r="C82" s="96"/>
      <c r="D82" s="96"/>
      <c r="E82" s="96"/>
    </row>
    <row r="83">
      <c r="A83" s="95"/>
      <c r="B83" s="96"/>
      <c r="C83" s="96"/>
      <c r="D83" s="96"/>
      <c r="E83" s="96"/>
    </row>
    <row r="84">
      <c r="A84" s="95"/>
      <c r="B84" s="96"/>
      <c r="C84" s="96"/>
      <c r="D84" s="96"/>
      <c r="E84" s="96"/>
    </row>
    <row r="85">
      <c r="A85" s="95"/>
      <c r="B85" s="96"/>
      <c r="C85" s="96"/>
      <c r="D85" s="96"/>
      <c r="E85" s="96"/>
    </row>
    <row r="86">
      <c r="A86" s="95"/>
      <c r="B86" s="96"/>
      <c r="C86" s="96"/>
      <c r="D86" s="96"/>
      <c r="E86" s="96"/>
    </row>
    <row r="87">
      <c r="A87" s="95"/>
      <c r="B87" s="96"/>
      <c r="C87" s="96"/>
      <c r="D87" s="96"/>
      <c r="E87" s="96"/>
    </row>
    <row r="88">
      <c r="A88" s="95"/>
      <c r="B88" s="96"/>
      <c r="C88" s="96"/>
      <c r="D88" s="96"/>
      <c r="E88" s="96"/>
    </row>
    <row r="89">
      <c r="A89" s="95"/>
      <c r="B89" s="96"/>
      <c r="C89" s="96"/>
      <c r="D89" s="96"/>
      <c r="E89" s="96"/>
    </row>
    <row r="90">
      <c r="A90" s="95"/>
      <c r="B90" s="96"/>
      <c r="C90" s="96"/>
      <c r="D90" s="96"/>
      <c r="E90" s="96"/>
    </row>
    <row r="91">
      <c r="A91" s="95"/>
      <c r="B91" s="96"/>
      <c r="C91" s="96"/>
      <c r="D91" s="96"/>
      <c r="E91" s="96"/>
    </row>
    <row r="92">
      <c r="A92" s="95"/>
      <c r="B92" s="96"/>
      <c r="C92" s="96"/>
      <c r="D92" s="96"/>
      <c r="E92" s="96"/>
    </row>
    <row r="93">
      <c r="A93" s="95"/>
      <c r="B93" s="96"/>
      <c r="C93" s="96"/>
      <c r="D93" s="96"/>
      <c r="E93" s="96"/>
    </row>
    <row r="94">
      <c r="A94" s="95"/>
      <c r="B94" s="96"/>
      <c r="C94" s="96"/>
      <c r="D94" s="96"/>
      <c r="E94" s="96"/>
    </row>
    <row r="95">
      <c r="A95" s="95"/>
      <c r="B95" s="96"/>
      <c r="C95" s="96"/>
      <c r="D95" s="96"/>
      <c r="E95" s="96"/>
    </row>
    <row r="96">
      <c r="A96" s="95"/>
      <c r="B96" s="96"/>
      <c r="C96" s="96"/>
      <c r="D96" s="96"/>
      <c r="E96" s="96"/>
    </row>
    <row r="97">
      <c r="A97" s="95"/>
      <c r="B97" s="96"/>
      <c r="C97" s="96"/>
      <c r="D97" s="96"/>
      <c r="E97" s="96"/>
    </row>
    <row r="98">
      <c r="A98" s="95"/>
      <c r="B98" s="96"/>
      <c r="C98" s="96"/>
      <c r="D98" s="96"/>
      <c r="E98" s="96"/>
    </row>
    <row r="99">
      <c r="A99" s="95"/>
      <c r="B99" s="96"/>
      <c r="C99" s="96"/>
      <c r="D99" s="96"/>
      <c r="E99" s="96"/>
    </row>
    <row r="100">
      <c r="A100" s="95"/>
      <c r="B100" s="96"/>
      <c r="C100" s="96"/>
      <c r="D100" s="96"/>
      <c r="E100" s="96"/>
    </row>
    <row r="101">
      <c r="A101" s="95"/>
      <c r="B101" s="96"/>
      <c r="C101" s="96"/>
      <c r="D101" s="96"/>
      <c r="E101" s="96"/>
    </row>
    <row r="102">
      <c r="A102" s="95"/>
      <c r="B102" s="96"/>
      <c r="C102" s="96"/>
      <c r="D102" s="96"/>
      <c r="E102" s="96"/>
    </row>
    <row r="103">
      <c r="A103" s="95"/>
      <c r="B103" s="96"/>
      <c r="C103" s="96"/>
      <c r="D103" s="96"/>
      <c r="E103" s="96"/>
    </row>
    <row r="104">
      <c r="A104" s="95"/>
      <c r="B104" s="96"/>
      <c r="C104" s="96"/>
      <c r="D104" s="96"/>
      <c r="E104" s="96"/>
    </row>
    <row r="105">
      <c r="A105" s="95"/>
      <c r="B105" s="96"/>
      <c r="C105" s="96"/>
      <c r="D105" s="96"/>
      <c r="E105" s="96"/>
    </row>
    <row r="106">
      <c r="A106" s="95"/>
      <c r="B106" s="96"/>
      <c r="C106" s="96"/>
      <c r="D106" s="96"/>
      <c r="E106" s="96"/>
    </row>
    <row r="107">
      <c r="A107" s="95"/>
      <c r="B107" s="96"/>
      <c r="C107" s="96"/>
      <c r="D107" s="96"/>
      <c r="E107" s="96"/>
    </row>
    <row r="108">
      <c r="A108" s="95"/>
      <c r="B108" s="96"/>
      <c r="C108" s="96"/>
      <c r="D108" s="96"/>
      <c r="E108" s="96"/>
    </row>
    <row r="109">
      <c r="A109" s="95"/>
      <c r="B109" s="96"/>
      <c r="C109" s="96"/>
      <c r="D109" s="96"/>
      <c r="E109" s="96"/>
    </row>
    <row r="110">
      <c r="A110" s="95"/>
      <c r="B110" s="96"/>
      <c r="C110" s="96"/>
      <c r="D110" s="96"/>
      <c r="E110" s="96"/>
    </row>
    <row r="111">
      <c r="A111" s="95"/>
      <c r="B111" s="96"/>
      <c r="C111" s="96"/>
      <c r="D111" s="96"/>
      <c r="E111" s="96"/>
    </row>
    <row r="112">
      <c r="A112" s="95"/>
      <c r="B112" s="96"/>
      <c r="C112" s="96"/>
      <c r="D112" s="96"/>
      <c r="E112" s="96"/>
    </row>
    <row r="113">
      <c r="A113" s="95"/>
      <c r="B113" s="96"/>
      <c r="C113" s="96"/>
      <c r="D113" s="96"/>
      <c r="E113" s="96"/>
    </row>
    <row r="114">
      <c r="A114" s="95"/>
      <c r="B114" s="96"/>
      <c r="C114" s="96"/>
      <c r="D114" s="96"/>
      <c r="E114" s="96"/>
    </row>
    <row r="115">
      <c r="A115" s="95"/>
      <c r="B115" s="96"/>
      <c r="C115" s="96"/>
      <c r="D115" s="96"/>
      <c r="E115" s="96"/>
    </row>
    <row r="116">
      <c r="A116" s="95"/>
      <c r="B116" s="96"/>
      <c r="C116" s="96"/>
      <c r="D116" s="96"/>
      <c r="E116" s="96"/>
    </row>
    <row r="117">
      <c r="A117" s="95"/>
      <c r="B117" s="96"/>
      <c r="C117" s="96"/>
      <c r="D117" s="96"/>
      <c r="E117" s="96"/>
    </row>
    <row r="118">
      <c r="A118" s="95"/>
      <c r="B118" s="96"/>
      <c r="C118" s="96"/>
      <c r="D118" s="96"/>
      <c r="E118" s="96"/>
    </row>
    <row r="119">
      <c r="A119" s="95"/>
      <c r="B119" s="96"/>
      <c r="C119" s="96"/>
      <c r="D119" s="96"/>
      <c r="E119" s="96"/>
    </row>
    <row r="120">
      <c r="A120" s="95"/>
      <c r="B120" s="96"/>
      <c r="C120" s="96"/>
      <c r="D120" s="96"/>
      <c r="E120" s="96"/>
    </row>
    <row r="121">
      <c r="A121" s="95"/>
      <c r="B121" s="96"/>
      <c r="C121" s="96"/>
      <c r="D121" s="96"/>
      <c r="E121" s="96"/>
    </row>
    <row r="122">
      <c r="A122" s="95"/>
      <c r="B122" s="96"/>
      <c r="C122" s="96"/>
      <c r="D122" s="96"/>
      <c r="E122" s="96"/>
    </row>
    <row r="123">
      <c r="A123" s="95"/>
      <c r="B123" s="96"/>
      <c r="C123" s="96"/>
      <c r="D123" s="96"/>
      <c r="E123" s="96"/>
    </row>
    <row r="124">
      <c r="A124" s="95"/>
      <c r="B124" s="96"/>
      <c r="C124" s="96"/>
      <c r="D124" s="96"/>
      <c r="E124" s="96"/>
    </row>
    <row r="125">
      <c r="A125" s="95"/>
      <c r="B125" s="96"/>
      <c r="C125" s="96"/>
      <c r="D125" s="96"/>
      <c r="E125" s="96"/>
    </row>
    <row r="126">
      <c r="A126" s="95"/>
      <c r="B126" s="96"/>
      <c r="C126" s="96"/>
      <c r="D126" s="96"/>
      <c r="E126" s="96"/>
    </row>
    <row r="127">
      <c r="A127" s="95"/>
      <c r="B127" s="96"/>
      <c r="C127" s="96"/>
      <c r="D127" s="96"/>
      <c r="E127" s="96"/>
    </row>
    <row r="128">
      <c r="A128" s="95"/>
      <c r="B128" s="96"/>
      <c r="C128" s="96"/>
      <c r="D128" s="96"/>
      <c r="E128" s="96"/>
    </row>
    <row r="129">
      <c r="A129" s="95"/>
      <c r="B129" s="96"/>
      <c r="C129" s="96"/>
      <c r="D129" s="96"/>
      <c r="E129" s="96"/>
    </row>
    <row r="130">
      <c r="A130" s="95"/>
      <c r="B130" s="96"/>
      <c r="C130" s="96"/>
      <c r="D130" s="96"/>
      <c r="E130" s="96"/>
    </row>
    <row r="131">
      <c r="A131" s="95"/>
      <c r="B131" s="96"/>
      <c r="C131" s="96"/>
      <c r="D131" s="96"/>
      <c r="E131" s="96"/>
    </row>
    <row r="132">
      <c r="A132" s="95"/>
      <c r="B132" s="96"/>
      <c r="C132" s="96"/>
      <c r="D132" s="96"/>
      <c r="E132" s="96"/>
    </row>
    <row r="133">
      <c r="A133" s="95"/>
      <c r="B133" s="96"/>
      <c r="C133" s="96"/>
      <c r="D133" s="96"/>
      <c r="E133" s="96"/>
    </row>
    <row r="134">
      <c r="A134" s="95"/>
      <c r="B134" s="96"/>
      <c r="C134" s="96"/>
      <c r="D134" s="96"/>
      <c r="E134" s="96"/>
    </row>
    <row r="135">
      <c r="A135" s="95"/>
      <c r="B135" s="96"/>
      <c r="C135" s="96"/>
      <c r="D135" s="96"/>
      <c r="E135" s="96"/>
    </row>
    <row r="136">
      <c r="A136" s="95"/>
      <c r="B136" s="96"/>
      <c r="C136" s="96"/>
      <c r="D136" s="96"/>
      <c r="E136" s="96"/>
    </row>
    <row r="137">
      <c r="A137" s="95"/>
      <c r="B137" s="96"/>
      <c r="C137" s="96"/>
      <c r="D137" s="96"/>
      <c r="E137" s="96"/>
    </row>
    <row r="138">
      <c r="A138" s="95"/>
      <c r="B138" s="96"/>
      <c r="C138" s="96"/>
      <c r="D138" s="96"/>
      <c r="E138" s="96"/>
    </row>
    <row r="139">
      <c r="A139" s="95"/>
      <c r="B139" s="96"/>
      <c r="C139" s="96"/>
      <c r="D139" s="96"/>
      <c r="E139" s="96"/>
    </row>
    <row r="140">
      <c r="A140" s="95"/>
      <c r="B140" s="96"/>
      <c r="C140" s="96"/>
      <c r="D140" s="96"/>
      <c r="E140" s="96"/>
    </row>
    <row r="141">
      <c r="A141" s="95"/>
      <c r="B141" s="96"/>
      <c r="C141" s="96"/>
      <c r="D141" s="96"/>
      <c r="E141" s="96"/>
    </row>
    <row r="142">
      <c r="A142" s="95"/>
      <c r="B142" s="96"/>
      <c r="C142" s="96"/>
      <c r="D142" s="96"/>
      <c r="E142" s="96"/>
    </row>
    <row r="143">
      <c r="A143" s="95"/>
      <c r="B143" s="96"/>
      <c r="C143" s="96"/>
      <c r="D143" s="96"/>
      <c r="E143" s="96"/>
    </row>
    <row r="144">
      <c r="A144" s="95"/>
      <c r="B144" s="96"/>
      <c r="C144" s="96"/>
      <c r="D144" s="96"/>
      <c r="E144" s="96"/>
    </row>
    <row r="145">
      <c r="A145" s="95"/>
      <c r="B145" s="96"/>
      <c r="C145" s="96"/>
      <c r="D145" s="96"/>
      <c r="E145" s="96"/>
    </row>
    <row r="146">
      <c r="A146" s="95"/>
      <c r="B146" s="96"/>
      <c r="C146" s="96"/>
      <c r="D146" s="96"/>
      <c r="E146" s="96"/>
    </row>
    <row r="147">
      <c r="A147" s="95"/>
      <c r="B147" s="96"/>
      <c r="C147" s="96"/>
      <c r="D147" s="96"/>
      <c r="E147" s="96"/>
    </row>
    <row r="148">
      <c r="A148" s="95"/>
      <c r="B148" s="96"/>
      <c r="C148" s="96"/>
      <c r="D148" s="96"/>
      <c r="E148" s="96"/>
    </row>
    <row r="149">
      <c r="A149" s="95"/>
      <c r="B149" s="96"/>
      <c r="C149" s="96"/>
      <c r="D149" s="96"/>
      <c r="E149" s="96"/>
    </row>
    <row r="150">
      <c r="A150" s="95"/>
      <c r="B150" s="96"/>
      <c r="C150" s="96"/>
      <c r="D150" s="96"/>
      <c r="E150" s="96"/>
    </row>
    <row r="151">
      <c r="A151" s="95"/>
      <c r="B151" s="96"/>
      <c r="C151" s="96"/>
      <c r="D151" s="96"/>
      <c r="E151" s="96"/>
    </row>
    <row r="152">
      <c r="A152" s="95"/>
      <c r="B152" s="96"/>
      <c r="C152" s="96"/>
      <c r="D152" s="96"/>
      <c r="E152" s="96"/>
    </row>
    <row r="153">
      <c r="A153" s="95"/>
      <c r="B153" s="96"/>
      <c r="C153" s="96"/>
      <c r="D153" s="96"/>
      <c r="E153" s="96"/>
    </row>
    <row r="154">
      <c r="A154" s="95"/>
      <c r="B154" s="96"/>
      <c r="C154" s="96"/>
      <c r="D154" s="96"/>
      <c r="E154" s="96"/>
    </row>
    <row r="155">
      <c r="A155" s="95"/>
      <c r="B155" s="96"/>
      <c r="C155" s="96"/>
      <c r="D155" s="96"/>
      <c r="E155" s="96"/>
    </row>
    <row r="156">
      <c r="A156" s="95"/>
      <c r="B156" s="96"/>
      <c r="C156" s="96"/>
      <c r="D156" s="96"/>
      <c r="E156" s="96"/>
    </row>
    <row r="157">
      <c r="A157" s="95"/>
      <c r="B157" s="96"/>
      <c r="C157" s="96"/>
      <c r="D157" s="96"/>
      <c r="E157" s="96"/>
    </row>
    <row r="158">
      <c r="A158" s="95"/>
      <c r="B158" s="96"/>
      <c r="C158" s="96"/>
      <c r="D158" s="96"/>
      <c r="E158" s="96"/>
    </row>
    <row r="159">
      <c r="A159" s="95"/>
      <c r="B159" s="96"/>
      <c r="C159" s="96"/>
      <c r="D159" s="96"/>
      <c r="E159" s="96"/>
    </row>
    <row r="160">
      <c r="A160" s="95"/>
      <c r="B160" s="96"/>
      <c r="C160" s="96"/>
      <c r="D160" s="96"/>
      <c r="E160" s="96"/>
    </row>
    <row r="161">
      <c r="A161" s="95"/>
      <c r="B161" s="96"/>
      <c r="C161" s="96"/>
      <c r="D161" s="96"/>
      <c r="E161" s="96"/>
    </row>
    <row r="162">
      <c r="A162" s="95"/>
      <c r="B162" s="96"/>
      <c r="C162" s="96"/>
      <c r="D162" s="96"/>
      <c r="E162" s="96"/>
    </row>
    <row r="163">
      <c r="A163" s="95"/>
      <c r="B163" s="96"/>
      <c r="C163" s="96"/>
      <c r="D163" s="96"/>
      <c r="E163" s="96"/>
    </row>
    <row r="164">
      <c r="A164" s="95"/>
      <c r="B164" s="96"/>
      <c r="C164" s="96"/>
      <c r="D164" s="96"/>
      <c r="E164" s="96"/>
    </row>
    <row r="165">
      <c r="A165" s="95"/>
      <c r="B165" s="96"/>
      <c r="C165" s="96"/>
      <c r="D165" s="96"/>
      <c r="E165" s="96"/>
    </row>
    <row r="166">
      <c r="A166" s="95"/>
      <c r="B166" s="96"/>
      <c r="C166" s="96"/>
      <c r="D166" s="96"/>
      <c r="E166" s="96"/>
    </row>
    <row r="167">
      <c r="A167" s="95"/>
      <c r="B167" s="96"/>
      <c r="C167" s="96"/>
      <c r="D167" s="96"/>
      <c r="E167" s="96"/>
    </row>
    <row r="168">
      <c r="A168" s="95"/>
      <c r="B168" s="96"/>
      <c r="C168" s="96"/>
      <c r="D168" s="96"/>
      <c r="E168" s="96"/>
    </row>
    <row r="169">
      <c r="A169" s="95"/>
      <c r="B169" s="96"/>
      <c r="C169" s="96"/>
      <c r="D169" s="96"/>
      <c r="E169" s="96"/>
    </row>
    <row r="170">
      <c r="A170" s="95"/>
      <c r="B170" s="96"/>
      <c r="C170" s="96"/>
      <c r="D170" s="96"/>
      <c r="E170" s="96"/>
    </row>
    <row r="171">
      <c r="A171" s="95"/>
      <c r="B171" s="96"/>
      <c r="C171" s="96"/>
      <c r="D171" s="96"/>
      <c r="E171" s="96"/>
    </row>
    <row r="172">
      <c r="A172" s="95"/>
      <c r="B172" s="96"/>
      <c r="C172" s="96"/>
      <c r="D172" s="96"/>
      <c r="E172" s="96"/>
    </row>
    <row r="173">
      <c r="A173" s="95"/>
      <c r="B173" s="96"/>
      <c r="C173" s="96"/>
      <c r="D173" s="96"/>
      <c r="E173" s="96"/>
    </row>
    <row r="174">
      <c r="A174" s="95"/>
      <c r="B174" s="96"/>
      <c r="C174" s="96"/>
      <c r="D174" s="96"/>
      <c r="E174" s="96"/>
    </row>
    <row r="175">
      <c r="A175" s="95"/>
      <c r="B175" s="96"/>
      <c r="C175" s="96"/>
      <c r="D175" s="96"/>
      <c r="E175" s="96"/>
    </row>
    <row r="176">
      <c r="A176" s="95"/>
      <c r="B176" s="96"/>
      <c r="C176" s="96"/>
      <c r="D176" s="96"/>
      <c r="E176" s="96"/>
    </row>
    <row r="177">
      <c r="A177" s="95"/>
      <c r="B177" s="96"/>
      <c r="C177" s="96"/>
      <c r="D177" s="96"/>
      <c r="E177" s="96"/>
    </row>
    <row r="178">
      <c r="A178" s="95"/>
      <c r="B178" s="96"/>
      <c r="C178" s="96"/>
      <c r="D178" s="96"/>
      <c r="E178" s="96"/>
    </row>
    <row r="179">
      <c r="A179" s="95"/>
      <c r="B179" s="96"/>
      <c r="C179" s="96"/>
      <c r="D179" s="96"/>
      <c r="E179" s="96"/>
    </row>
    <row r="180">
      <c r="A180" s="95"/>
      <c r="B180" s="96"/>
      <c r="C180" s="96"/>
      <c r="D180" s="96"/>
      <c r="E180" s="96"/>
    </row>
    <row r="181">
      <c r="A181" s="95"/>
      <c r="B181" s="96"/>
      <c r="C181" s="96"/>
      <c r="D181" s="96"/>
      <c r="E181" s="96"/>
    </row>
    <row r="182">
      <c r="A182" s="95"/>
      <c r="B182" s="96"/>
      <c r="C182" s="96"/>
      <c r="D182" s="96"/>
      <c r="E182" s="96"/>
    </row>
    <row r="183">
      <c r="A183" s="95"/>
      <c r="B183" s="96"/>
      <c r="C183" s="96"/>
      <c r="D183" s="96"/>
      <c r="E183" s="96"/>
    </row>
    <row r="184">
      <c r="A184" s="95"/>
      <c r="B184" s="96"/>
      <c r="C184" s="96"/>
      <c r="D184" s="96"/>
      <c r="E184" s="96"/>
    </row>
    <row r="185">
      <c r="A185" s="95"/>
      <c r="B185" s="96"/>
      <c r="C185" s="96"/>
      <c r="D185" s="96"/>
      <c r="E185" s="96"/>
    </row>
    <row r="186">
      <c r="A186" s="95"/>
      <c r="B186" s="96"/>
      <c r="C186" s="96"/>
      <c r="D186" s="96"/>
      <c r="E186" s="96"/>
    </row>
    <row r="187">
      <c r="A187" s="95"/>
      <c r="B187" s="96"/>
      <c r="C187" s="96"/>
      <c r="D187" s="96"/>
      <c r="E187" s="96"/>
    </row>
    <row r="188">
      <c r="A188" s="95"/>
      <c r="B188" s="96"/>
      <c r="C188" s="96"/>
      <c r="D188" s="96"/>
      <c r="E188" s="96"/>
    </row>
    <row r="189">
      <c r="A189" s="95"/>
      <c r="B189" s="96"/>
      <c r="C189" s="96"/>
      <c r="D189" s="96"/>
      <c r="E189" s="96"/>
    </row>
    <row r="190">
      <c r="A190" s="95"/>
      <c r="B190" s="96"/>
      <c r="C190" s="96"/>
      <c r="D190" s="96"/>
      <c r="E190" s="96"/>
    </row>
    <row r="191">
      <c r="A191" s="95"/>
      <c r="B191" s="96"/>
      <c r="C191" s="96"/>
      <c r="D191" s="96"/>
      <c r="E191" s="96"/>
    </row>
    <row r="192">
      <c r="A192" s="95"/>
      <c r="B192" s="96"/>
      <c r="C192" s="96"/>
      <c r="D192" s="96"/>
      <c r="E192" s="96"/>
    </row>
    <row r="193">
      <c r="A193" s="95"/>
      <c r="B193" s="96"/>
      <c r="C193" s="96"/>
      <c r="D193" s="96"/>
      <c r="E193" s="96"/>
    </row>
    <row r="194">
      <c r="A194" s="95"/>
      <c r="B194" s="96"/>
      <c r="C194" s="96"/>
      <c r="D194" s="96"/>
      <c r="E194" s="96"/>
    </row>
    <row r="195">
      <c r="A195" s="95"/>
      <c r="B195" s="96"/>
      <c r="C195" s="96"/>
      <c r="D195" s="96"/>
      <c r="E195" s="96"/>
    </row>
    <row r="196">
      <c r="A196" s="95"/>
      <c r="B196" s="96"/>
      <c r="C196" s="96"/>
      <c r="D196" s="96"/>
      <c r="E196" s="96"/>
    </row>
    <row r="197">
      <c r="A197" s="95"/>
      <c r="B197" s="96"/>
      <c r="C197" s="96"/>
      <c r="D197" s="96"/>
      <c r="E197" s="96"/>
    </row>
    <row r="198">
      <c r="A198" s="95"/>
      <c r="B198" s="96"/>
      <c r="C198" s="96"/>
      <c r="D198" s="96"/>
      <c r="E198" s="96"/>
    </row>
    <row r="199">
      <c r="A199" s="95"/>
      <c r="B199" s="96"/>
      <c r="C199" s="96"/>
      <c r="D199" s="96"/>
      <c r="E199" s="96"/>
    </row>
    <row r="200">
      <c r="A200" s="95"/>
      <c r="B200" s="96"/>
      <c r="C200" s="96"/>
      <c r="D200" s="96"/>
      <c r="E200" s="96"/>
    </row>
    <row r="201">
      <c r="A201" s="95"/>
      <c r="B201" s="96"/>
      <c r="C201" s="96"/>
      <c r="D201" s="96"/>
      <c r="E201" s="96"/>
    </row>
    <row r="202">
      <c r="A202" s="95"/>
      <c r="B202" s="96"/>
      <c r="C202" s="96"/>
      <c r="D202" s="96"/>
      <c r="E202" s="96"/>
    </row>
    <row r="203">
      <c r="A203" s="95"/>
      <c r="B203" s="96"/>
      <c r="C203" s="96"/>
      <c r="D203" s="96"/>
      <c r="E203" s="96"/>
    </row>
    <row r="204">
      <c r="A204" s="95"/>
      <c r="B204" s="96"/>
      <c r="C204" s="96"/>
      <c r="D204" s="96"/>
      <c r="E204" s="96"/>
    </row>
    <row r="205">
      <c r="A205" s="95"/>
      <c r="B205" s="96"/>
      <c r="C205" s="96"/>
      <c r="D205" s="96"/>
      <c r="E205" s="96"/>
    </row>
    <row r="206">
      <c r="A206" s="95"/>
      <c r="B206" s="96"/>
      <c r="C206" s="96"/>
      <c r="D206" s="96"/>
      <c r="E206" s="96"/>
    </row>
    <row r="207">
      <c r="A207" s="95"/>
      <c r="B207" s="96"/>
      <c r="C207" s="96"/>
      <c r="D207" s="96"/>
      <c r="E207" s="96"/>
    </row>
    <row r="208">
      <c r="A208" s="95"/>
      <c r="B208" s="96"/>
      <c r="C208" s="96"/>
      <c r="D208" s="96"/>
      <c r="E208" s="96"/>
    </row>
    <row r="209">
      <c r="A209" s="95"/>
      <c r="B209" s="96"/>
      <c r="C209" s="96"/>
      <c r="D209" s="96"/>
      <c r="E209" s="96"/>
    </row>
    <row r="210">
      <c r="A210" s="95"/>
      <c r="B210" s="96"/>
      <c r="C210" s="96"/>
      <c r="D210" s="96"/>
      <c r="E210" s="96"/>
    </row>
    <row r="211">
      <c r="A211" s="95"/>
      <c r="B211" s="96"/>
      <c r="C211" s="96"/>
      <c r="D211" s="96"/>
      <c r="E211" s="96"/>
    </row>
    <row r="212">
      <c r="A212" s="95"/>
      <c r="B212" s="96"/>
      <c r="C212" s="96"/>
      <c r="D212" s="96"/>
      <c r="E212" s="96"/>
    </row>
    <row r="213">
      <c r="A213" s="95"/>
      <c r="B213" s="96"/>
      <c r="C213" s="96"/>
      <c r="D213" s="96"/>
      <c r="E213" s="96"/>
    </row>
    <row r="214">
      <c r="A214" s="95"/>
      <c r="B214" s="96"/>
      <c r="C214" s="96"/>
      <c r="D214" s="96"/>
      <c r="E214" s="96"/>
    </row>
    <row r="215">
      <c r="A215" s="95"/>
      <c r="B215" s="96"/>
      <c r="C215" s="96"/>
      <c r="D215" s="96"/>
      <c r="E215" s="96"/>
    </row>
    <row r="216">
      <c r="A216" s="95"/>
      <c r="B216" s="96"/>
      <c r="C216" s="96"/>
      <c r="D216" s="96"/>
      <c r="E216" s="96"/>
    </row>
    <row r="217">
      <c r="A217" s="95"/>
      <c r="B217" s="96"/>
      <c r="C217" s="96"/>
      <c r="D217" s="96"/>
      <c r="E217" s="96"/>
    </row>
    <row r="218">
      <c r="A218" s="95"/>
      <c r="B218" s="96"/>
      <c r="C218" s="96"/>
      <c r="D218" s="96"/>
      <c r="E218" s="96"/>
    </row>
    <row r="219">
      <c r="A219" s="95"/>
      <c r="B219" s="96"/>
      <c r="C219" s="96"/>
      <c r="D219" s="96"/>
      <c r="E219" s="96"/>
    </row>
    <row r="220">
      <c r="A220" s="95"/>
      <c r="B220" s="96"/>
      <c r="C220" s="96"/>
      <c r="D220" s="96"/>
      <c r="E220" s="96"/>
    </row>
    <row r="221">
      <c r="A221" s="95"/>
      <c r="B221" s="96"/>
      <c r="C221" s="96"/>
      <c r="D221" s="96"/>
      <c r="E221" s="96"/>
    </row>
    <row r="222">
      <c r="A222" s="95"/>
      <c r="B222" s="96"/>
      <c r="C222" s="96"/>
      <c r="D222" s="96"/>
      <c r="E222" s="96"/>
    </row>
    <row r="223">
      <c r="A223" s="95"/>
      <c r="B223" s="96"/>
      <c r="C223" s="96"/>
      <c r="D223" s="96"/>
      <c r="E223" s="96"/>
    </row>
    <row r="224">
      <c r="A224" s="95"/>
      <c r="B224" s="96"/>
      <c r="C224" s="96"/>
      <c r="D224" s="96"/>
      <c r="E224" s="96"/>
    </row>
    <row r="225">
      <c r="A225" s="95"/>
      <c r="B225" s="96"/>
      <c r="C225" s="96"/>
      <c r="D225" s="96"/>
      <c r="E225" s="96"/>
    </row>
    <row r="226">
      <c r="A226" s="95"/>
      <c r="B226" s="96"/>
      <c r="C226" s="96"/>
      <c r="D226" s="96"/>
      <c r="E226" s="96"/>
    </row>
    <row r="227">
      <c r="A227" s="95"/>
      <c r="B227" s="96"/>
      <c r="C227" s="96"/>
      <c r="D227" s="96"/>
      <c r="E227" s="96"/>
    </row>
    <row r="228">
      <c r="A228" s="95"/>
      <c r="B228" s="96"/>
      <c r="C228" s="96"/>
      <c r="D228" s="96"/>
      <c r="E228" s="96"/>
    </row>
    <row r="229">
      <c r="A229" s="95"/>
      <c r="B229" s="96"/>
      <c r="C229" s="96"/>
      <c r="D229" s="96"/>
      <c r="E229" s="96"/>
    </row>
    <row r="230">
      <c r="A230" s="95"/>
      <c r="B230" s="96"/>
      <c r="C230" s="96"/>
      <c r="D230" s="96"/>
      <c r="E230" s="96"/>
    </row>
    <row r="231">
      <c r="A231" s="95"/>
      <c r="B231" s="96"/>
      <c r="C231" s="96"/>
      <c r="D231" s="96"/>
      <c r="E231" s="96"/>
    </row>
    <row r="232">
      <c r="A232" s="95"/>
      <c r="B232" s="96"/>
      <c r="C232" s="96"/>
      <c r="D232" s="96"/>
      <c r="E232" s="96"/>
    </row>
    <row r="233">
      <c r="A233" s="95"/>
      <c r="B233" s="96"/>
      <c r="C233" s="96"/>
      <c r="D233" s="96"/>
      <c r="E233" s="96"/>
    </row>
    <row r="234">
      <c r="A234" s="95"/>
      <c r="B234" s="96"/>
      <c r="C234" s="96"/>
      <c r="D234" s="96"/>
      <c r="E234" s="96"/>
    </row>
    <row r="235">
      <c r="A235" s="95"/>
      <c r="B235" s="96"/>
      <c r="C235" s="96"/>
      <c r="D235" s="96"/>
      <c r="E235" s="96"/>
    </row>
    <row r="236">
      <c r="A236" s="95"/>
      <c r="B236" s="96"/>
      <c r="C236" s="96"/>
      <c r="D236" s="96"/>
      <c r="E236" s="96"/>
    </row>
    <row r="237">
      <c r="A237" s="95"/>
      <c r="B237" s="96"/>
      <c r="C237" s="96"/>
      <c r="D237" s="96"/>
      <c r="E237" s="96"/>
    </row>
    <row r="238">
      <c r="A238" s="95"/>
      <c r="B238" s="96"/>
      <c r="C238" s="96"/>
      <c r="D238" s="96"/>
      <c r="E238" s="96"/>
    </row>
    <row r="239">
      <c r="A239" s="95"/>
      <c r="B239" s="96"/>
      <c r="C239" s="96"/>
      <c r="D239" s="96"/>
      <c r="E239" s="96"/>
    </row>
    <row r="240">
      <c r="A240" s="95"/>
      <c r="B240" s="96"/>
      <c r="C240" s="96"/>
      <c r="D240" s="96"/>
      <c r="E240" s="96"/>
    </row>
    <row r="241">
      <c r="A241" s="95"/>
      <c r="B241" s="96"/>
      <c r="C241" s="96"/>
      <c r="D241" s="96"/>
      <c r="E241" s="96"/>
    </row>
    <row r="242">
      <c r="A242" s="95"/>
      <c r="B242" s="96"/>
      <c r="C242" s="96"/>
      <c r="D242" s="96"/>
      <c r="E242" s="96"/>
    </row>
    <row r="243">
      <c r="A243" s="95"/>
      <c r="B243" s="96"/>
      <c r="C243" s="96"/>
      <c r="D243" s="96"/>
      <c r="E243" s="96"/>
    </row>
    <row r="244">
      <c r="A244" s="95"/>
      <c r="B244" s="96"/>
      <c r="C244" s="96"/>
      <c r="D244" s="96"/>
      <c r="E244" s="96"/>
    </row>
    <row r="245">
      <c r="A245" s="95"/>
      <c r="B245" s="96"/>
      <c r="C245" s="96"/>
      <c r="D245" s="96"/>
      <c r="E245" s="96"/>
    </row>
    <row r="246">
      <c r="A246" s="95"/>
      <c r="B246" s="96"/>
      <c r="C246" s="96"/>
      <c r="D246" s="96"/>
      <c r="E246" s="96"/>
    </row>
    <row r="247">
      <c r="A247" s="95"/>
      <c r="B247" s="96"/>
      <c r="C247" s="96"/>
      <c r="D247" s="96"/>
      <c r="E247" s="96"/>
    </row>
    <row r="248">
      <c r="A248" s="95"/>
      <c r="B248" s="96"/>
      <c r="C248" s="96"/>
      <c r="D248" s="96"/>
      <c r="E248" s="96"/>
    </row>
    <row r="249">
      <c r="A249" s="95"/>
      <c r="B249" s="96"/>
      <c r="C249" s="96"/>
      <c r="D249" s="96"/>
      <c r="E249" s="96"/>
    </row>
    <row r="250">
      <c r="A250" s="95"/>
      <c r="B250" s="96"/>
      <c r="C250" s="96"/>
      <c r="D250" s="96"/>
      <c r="E250" s="96"/>
    </row>
    <row r="251">
      <c r="A251" s="95"/>
      <c r="B251" s="96"/>
      <c r="C251" s="96"/>
      <c r="D251" s="96"/>
      <c r="E251" s="96"/>
    </row>
    <row r="252">
      <c r="A252" s="95"/>
      <c r="B252" s="96"/>
      <c r="C252" s="96"/>
      <c r="D252" s="96"/>
      <c r="E252" s="96"/>
    </row>
    <row r="253">
      <c r="A253" s="95"/>
      <c r="B253" s="96"/>
      <c r="C253" s="96"/>
      <c r="D253" s="96"/>
      <c r="E253" s="96"/>
    </row>
    <row r="254">
      <c r="A254" s="95"/>
      <c r="B254" s="96"/>
      <c r="C254" s="96"/>
      <c r="D254" s="96"/>
      <c r="E254" s="96"/>
    </row>
    <row r="255">
      <c r="A255" s="95"/>
      <c r="B255" s="96"/>
      <c r="C255" s="96"/>
      <c r="D255" s="96"/>
      <c r="E255" s="96"/>
    </row>
    <row r="256">
      <c r="A256" s="95"/>
      <c r="B256" s="96"/>
      <c r="C256" s="96"/>
      <c r="D256" s="96"/>
      <c r="E256" s="96"/>
    </row>
    <row r="257">
      <c r="A257" s="95"/>
      <c r="B257" s="96"/>
      <c r="C257" s="96"/>
      <c r="D257" s="96"/>
      <c r="E257" s="96"/>
    </row>
    <row r="258">
      <c r="A258" s="95"/>
      <c r="B258" s="96"/>
      <c r="C258" s="96"/>
      <c r="D258" s="96"/>
      <c r="E258" s="96"/>
    </row>
    <row r="259">
      <c r="A259" s="95"/>
      <c r="B259" s="96"/>
      <c r="C259" s="96"/>
      <c r="D259" s="96"/>
      <c r="E259" s="96"/>
    </row>
    <row r="260">
      <c r="A260" s="95"/>
      <c r="B260" s="96"/>
      <c r="C260" s="96"/>
      <c r="D260" s="96"/>
      <c r="E260" s="96"/>
    </row>
    <row r="261">
      <c r="A261" s="95"/>
      <c r="B261" s="96"/>
      <c r="C261" s="96"/>
      <c r="D261" s="96"/>
      <c r="E261" s="96"/>
    </row>
    <row r="262">
      <c r="A262" s="95"/>
      <c r="B262" s="96"/>
      <c r="C262" s="96"/>
      <c r="D262" s="96"/>
      <c r="E262" s="96"/>
    </row>
    <row r="263">
      <c r="A263" s="95"/>
      <c r="B263" s="96"/>
      <c r="C263" s="96"/>
      <c r="D263" s="96"/>
      <c r="E263" s="96"/>
    </row>
    <row r="264">
      <c r="A264" s="95"/>
      <c r="B264" s="96"/>
      <c r="C264" s="96"/>
      <c r="D264" s="96"/>
      <c r="E264" s="96"/>
    </row>
    <row r="265">
      <c r="A265" s="95"/>
      <c r="B265" s="96"/>
      <c r="C265" s="96"/>
      <c r="D265" s="96"/>
      <c r="E265" s="96"/>
    </row>
    <row r="266">
      <c r="A266" s="95"/>
      <c r="B266" s="96"/>
      <c r="C266" s="96"/>
      <c r="D266" s="96"/>
      <c r="E266" s="96"/>
    </row>
    <row r="267">
      <c r="A267" s="95"/>
      <c r="B267" s="96"/>
      <c r="C267" s="96"/>
      <c r="D267" s="96"/>
      <c r="E267" s="96"/>
    </row>
    <row r="268">
      <c r="A268" s="95"/>
      <c r="B268" s="96"/>
      <c r="C268" s="96"/>
      <c r="D268" s="96"/>
      <c r="E268" s="96"/>
    </row>
    <row r="269">
      <c r="A269" s="95"/>
      <c r="B269" s="96"/>
      <c r="C269" s="96"/>
      <c r="D269" s="96"/>
      <c r="E269" s="96"/>
    </row>
    <row r="270">
      <c r="A270" s="95"/>
      <c r="B270" s="96"/>
      <c r="C270" s="96"/>
      <c r="D270" s="96"/>
      <c r="E270" s="96"/>
    </row>
    <row r="271">
      <c r="A271" s="95"/>
      <c r="B271" s="96"/>
      <c r="C271" s="96"/>
      <c r="D271" s="96"/>
      <c r="E271" s="96"/>
    </row>
    <row r="272">
      <c r="A272" s="95"/>
      <c r="B272" s="96"/>
      <c r="C272" s="96"/>
      <c r="D272" s="96"/>
      <c r="E272" s="96"/>
    </row>
    <row r="273">
      <c r="A273" s="95"/>
      <c r="B273" s="96"/>
      <c r="C273" s="96"/>
      <c r="D273" s="96"/>
      <c r="E273" s="96"/>
    </row>
    <row r="274">
      <c r="A274" s="95"/>
      <c r="B274" s="96"/>
      <c r="C274" s="96"/>
      <c r="D274" s="96"/>
      <c r="E274" s="96"/>
    </row>
    <row r="275">
      <c r="A275" s="95"/>
      <c r="B275" s="96"/>
      <c r="C275" s="96"/>
      <c r="D275" s="96"/>
      <c r="E275" s="96"/>
    </row>
    <row r="276">
      <c r="A276" s="95"/>
      <c r="B276" s="96"/>
      <c r="C276" s="96"/>
      <c r="D276" s="96"/>
      <c r="E276" s="96"/>
    </row>
    <row r="277">
      <c r="A277" s="95"/>
      <c r="B277" s="96"/>
      <c r="C277" s="96"/>
      <c r="D277" s="96"/>
      <c r="E277" s="96"/>
    </row>
    <row r="278">
      <c r="A278" s="95"/>
      <c r="B278" s="96"/>
      <c r="C278" s="96"/>
      <c r="D278" s="96"/>
      <c r="E278" s="96"/>
    </row>
    <row r="279">
      <c r="A279" s="95"/>
      <c r="B279" s="96"/>
      <c r="C279" s="96"/>
      <c r="D279" s="96"/>
      <c r="E279" s="96"/>
    </row>
    <row r="280">
      <c r="A280" s="95"/>
      <c r="B280" s="96"/>
      <c r="C280" s="96"/>
      <c r="D280" s="96"/>
      <c r="E280" s="96"/>
    </row>
    <row r="281">
      <c r="A281" s="95"/>
      <c r="B281" s="96"/>
      <c r="C281" s="96"/>
      <c r="D281" s="96"/>
      <c r="E281" s="96"/>
    </row>
    <row r="282">
      <c r="A282" s="95"/>
      <c r="B282" s="96"/>
      <c r="C282" s="96"/>
      <c r="D282" s="96"/>
      <c r="E282" s="96"/>
    </row>
    <row r="283">
      <c r="A283" s="95"/>
      <c r="B283" s="96"/>
      <c r="C283" s="96"/>
      <c r="D283" s="96"/>
      <c r="E283" s="96"/>
    </row>
    <row r="284">
      <c r="A284" s="95"/>
      <c r="B284" s="96"/>
      <c r="C284" s="96"/>
      <c r="D284" s="96"/>
      <c r="E284" s="96"/>
    </row>
    <row r="285">
      <c r="A285" s="95"/>
      <c r="B285" s="96"/>
      <c r="C285" s="96"/>
      <c r="D285" s="96"/>
      <c r="E285" s="96"/>
    </row>
    <row r="286">
      <c r="A286" s="95"/>
      <c r="B286" s="96"/>
      <c r="C286" s="96"/>
      <c r="D286" s="96"/>
      <c r="E286" s="96"/>
    </row>
    <row r="287">
      <c r="A287" s="95"/>
      <c r="B287" s="96"/>
      <c r="C287" s="96"/>
      <c r="D287" s="96"/>
      <c r="E287" s="96"/>
    </row>
    <row r="288">
      <c r="A288" s="95"/>
      <c r="B288" s="96"/>
      <c r="C288" s="96"/>
      <c r="D288" s="96"/>
      <c r="E288" s="96"/>
    </row>
    <row r="289">
      <c r="A289" s="95"/>
      <c r="B289" s="96"/>
      <c r="C289" s="96"/>
      <c r="D289" s="96"/>
      <c r="E289" s="96"/>
    </row>
    <row r="290">
      <c r="A290" s="95"/>
      <c r="B290" s="96"/>
      <c r="C290" s="96"/>
      <c r="D290" s="96"/>
      <c r="E290" s="96"/>
    </row>
    <row r="291">
      <c r="A291" s="95"/>
      <c r="B291" s="96"/>
      <c r="C291" s="96"/>
      <c r="D291" s="96"/>
      <c r="E291" s="96"/>
    </row>
    <row r="292">
      <c r="A292" s="95"/>
      <c r="B292" s="96"/>
      <c r="C292" s="96"/>
      <c r="D292" s="96"/>
      <c r="E292" s="96"/>
    </row>
    <row r="293">
      <c r="A293" s="95"/>
      <c r="B293" s="96"/>
      <c r="C293" s="96"/>
      <c r="D293" s="96"/>
      <c r="E293" s="96"/>
    </row>
    <row r="294">
      <c r="A294" s="95"/>
      <c r="B294" s="96"/>
      <c r="C294" s="96"/>
      <c r="D294" s="96"/>
      <c r="E294" s="96"/>
    </row>
    <row r="295">
      <c r="A295" s="95"/>
      <c r="B295" s="96"/>
      <c r="C295" s="96"/>
      <c r="D295" s="96"/>
      <c r="E295" s="96"/>
    </row>
    <row r="296">
      <c r="A296" s="95"/>
      <c r="B296" s="96"/>
      <c r="C296" s="96"/>
      <c r="D296" s="96"/>
      <c r="E296" s="96"/>
    </row>
    <row r="297">
      <c r="A297" s="95"/>
      <c r="B297" s="96"/>
      <c r="C297" s="96"/>
      <c r="D297" s="96"/>
      <c r="E297" s="96"/>
    </row>
    <row r="298">
      <c r="A298" s="95"/>
      <c r="B298" s="96"/>
      <c r="C298" s="96"/>
      <c r="D298" s="96"/>
      <c r="E298" s="96"/>
    </row>
    <row r="299">
      <c r="A299" s="95"/>
      <c r="B299" s="96"/>
      <c r="C299" s="96"/>
      <c r="D299" s="96"/>
      <c r="E299" s="96"/>
    </row>
    <row r="300">
      <c r="A300" s="95"/>
      <c r="B300" s="96"/>
      <c r="C300" s="96"/>
      <c r="D300" s="96"/>
      <c r="E300" s="96"/>
    </row>
    <row r="301">
      <c r="A301" s="95"/>
      <c r="B301" s="96"/>
      <c r="C301" s="96"/>
      <c r="D301" s="96"/>
      <c r="E301" s="96"/>
    </row>
    <row r="302">
      <c r="A302" s="95"/>
      <c r="B302" s="96"/>
      <c r="C302" s="96"/>
      <c r="D302" s="96"/>
      <c r="E302" s="96"/>
    </row>
    <row r="303">
      <c r="A303" s="95"/>
      <c r="B303" s="96"/>
      <c r="C303" s="96"/>
      <c r="D303" s="96"/>
      <c r="E303" s="96"/>
    </row>
    <row r="304">
      <c r="A304" s="95"/>
      <c r="B304" s="96"/>
      <c r="C304" s="96"/>
      <c r="D304" s="96"/>
      <c r="E304" s="96"/>
    </row>
    <row r="305">
      <c r="A305" s="95"/>
      <c r="B305" s="96"/>
      <c r="C305" s="96"/>
      <c r="D305" s="96"/>
      <c r="E305" s="96"/>
    </row>
    <row r="306">
      <c r="A306" s="95"/>
      <c r="B306" s="96"/>
      <c r="C306" s="96"/>
      <c r="D306" s="96"/>
      <c r="E306" s="96"/>
    </row>
    <row r="307">
      <c r="A307" s="95"/>
      <c r="B307" s="96"/>
      <c r="C307" s="96"/>
      <c r="D307" s="96"/>
      <c r="E307" s="96"/>
    </row>
    <row r="308">
      <c r="A308" s="95"/>
      <c r="B308" s="96"/>
      <c r="C308" s="96"/>
      <c r="D308" s="96"/>
      <c r="E308" s="96"/>
    </row>
    <row r="309">
      <c r="A309" s="95"/>
      <c r="B309" s="96"/>
      <c r="C309" s="96"/>
      <c r="D309" s="96"/>
      <c r="E309" s="96"/>
    </row>
    <row r="310">
      <c r="A310" s="95"/>
      <c r="B310" s="96"/>
      <c r="C310" s="96"/>
      <c r="D310" s="96"/>
      <c r="E310" s="96"/>
    </row>
    <row r="311">
      <c r="A311" s="95"/>
      <c r="B311" s="96"/>
      <c r="C311" s="96"/>
      <c r="D311" s="96"/>
      <c r="E311" s="96"/>
    </row>
    <row r="312">
      <c r="A312" s="95"/>
      <c r="B312" s="96"/>
      <c r="C312" s="96"/>
      <c r="D312" s="96"/>
      <c r="E312" s="96"/>
    </row>
    <row r="313">
      <c r="A313" s="95"/>
      <c r="B313" s="96"/>
      <c r="C313" s="96"/>
      <c r="D313" s="96"/>
      <c r="E313" s="96"/>
    </row>
    <row r="314">
      <c r="A314" s="95"/>
      <c r="B314" s="96"/>
      <c r="C314" s="96"/>
      <c r="D314" s="96"/>
      <c r="E314" s="96"/>
    </row>
    <row r="315">
      <c r="A315" s="95"/>
      <c r="B315" s="96"/>
      <c r="C315" s="96"/>
      <c r="D315" s="96"/>
      <c r="E315" s="96"/>
    </row>
    <row r="316">
      <c r="A316" s="95"/>
      <c r="B316" s="96"/>
      <c r="C316" s="96"/>
      <c r="D316" s="96"/>
      <c r="E316" s="96"/>
    </row>
    <row r="317">
      <c r="A317" s="95"/>
      <c r="B317" s="96"/>
      <c r="C317" s="96"/>
      <c r="D317" s="96"/>
      <c r="E317" s="96"/>
    </row>
    <row r="318">
      <c r="A318" s="95"/>
      <c r="B318" s="96"/>
      <c r="C318" s="96"/>
      <c r="D318" s="96"/>
      <c r="E318" s="96"/>
    </row>
    <row r="319">
      <c r="A319" s="95"/>
      <c r="B319" s="96"/>
      <c r="C319" s="96"/>
      <c r="D319" s="96"/>
      <c r="E319" s="96"/>
    </row>
    <row r="320">
      <c r="A320" s="95"/>
      <c r="B320" s="96"/>
      <c r="C320" s="96"/>
      <c r="D320" s="96"/>
      <c r="E320" s="96"/>
    </row>
    <row r="321">
      <c r="A321" s="95"/>
      <c r="B321" s="96"/>
      <c r="C321" s="96"/>
      <c r="D321" s="96"/>
      <c r="E321" s="96"/>
    </row>
    <row r="322">
      <c r="A322" s="95"/>
      <c r="B322" s="96"/>
      <c r="C322" s="96"/>
      <c r="D322" s="96"/>
      <c r="E322" s="96"/>
    </row>
    <row r="323">
      <c r="A323" s="95"/>
      <c r="B323" s="96"/>
      <c r="C323" s="96"/>
      <c r="D323" s="96"/>
      <c r="E323" s="96"/>
    </row>
    <row r="324">
      <c r="A324" s="95"/>
      <c r="B324" s="96"/>
      <c r="C324" s="96"/>
      <c r="D324" s="96"/>
      <c r="E324" s="96"/>
    </row>
    <row r="325">
      <c r="A325" s="95"/>
      <c r="B325" s="96"/>
      <c r="C325" s="96"/>
      <c r="D325" s="96"/>
      <c r="E325" s="96"/>
    </row>
    <row r="326">
      <c r="A326" s="95"/>
      <c r="B326" s="96"/>
      <c r="C326" s="96"/>
      <c r="D326" s="96"/>
      <c r="E326" s="96"/>
    </row>
    <row r="327">
      <c r="A327" s="95"/>
      <c r="B327" s="96"/>
      <c r="C327" s="96"/>
      <c r="D327" s="96"/>
      <c r="E327" s="96"/>
    </row>
    <row r="328">
      <c r="A328" s="95"/>
      <c r="B328" s="96"/>
      <c r="C328" s="96"/>
      <c r="D328" s="96"/>
      <c r="E328" s="96"/>
    </row>
    <row r="329">
      <c r="A329" s="95"/>
      <c r="B329" s="96"/>
      <c r="C329" s="96"/>
      <c r="D329" s="96"/>
      <c r="E329" s="96"/>
    </row>
    <row r="330">
      <c r="A330" s="95"/>
      <c r="B330" s="96"/>
      <c r="C330" s="96"/>
      <c r="D330" s="96"/>
      <c r="E330" s="96"/>
    </row>
    <row r="331">
      <c r="A331" s="95"/>
      <c r="B331" s="96"/>
      <c r="C331" s="96"/>
      <c r="D331" s="96"/>
      <c r="E331" s="96"/>
    </row>
    <row r="332">
      <c r="A332" s="95"/>
      <c r="B332" s="96"/>
      <c r="C332" s="96"/>
      <c r="D332" s="96"/>
      <c r="E332" s="96"/>
    </row>
    <row r="333">
      <c r="A333" s="95"/>
      <c r="B333" s="96"/>
      <c r="C333" s="96"/>
      <c r="D333" s="96"/>
      <c r="E333" s="96"/>
    </row>
    <row r="334">
      <c r="A334" s="95"/>
      <c r="B334" s="96"/>
      <c r="C334" s="96"/>
      <c r="D334" s="96"/>
      <c r="E334" s="96"/>
    </row>
    <row r="335">
      <c r="A335" s="95"/>
      <c r="B335" s="96"/>
      <c r="C335" s="96"/>
      <c r="D335" s="96"/>
      <c r="E335" s="96"/>
    </row>
    <row r="336">
      <c r="A336" s="95"/>
      <c r="B336" s="96"/>
      <c r="C336" s="96"/>
      <c r="D336" s="96"/>
      <c r="E336" s="96"/>
    </row>
    <row r="337">
      <c r="A337" s="95"/>
      <c r="B337" s="96"/>
      <c r="C337" s="96"/>
      <c r="D337" s="96"/>
      <c r="E337" s="96"/>
    </row>
    <row r="338">
      <c r="A338" s="95"/>
      <c r="B338" s="96"/>
      <c r="C338" s="96"/>
      <c r="D338" s="96"/>
      <c r="E338" s="96"/>
    </row>
    <row r="339">
      <c r="A339" s="95"/>
      <c r="B339" s="96"/>
      <c r="C339" s="96"/>
      <c r="D339" s="96"/>
      <c r="E339" s="96"/>
    </row>
    <row r="340">
      <c r="A340" s="95"/>
      <c r="B340" s="96"/>
      <c r="C340" s="96"/>
      <c r="D340" s="96"/>
      <c r="E340" s="96"/>
    </row>
    <row r="341">
      <c r="A341" s="95"/>
      <c r="B341" s="96"/>
      <c r="C341" s="96"/>
      <c r="D341" s="96"/>
      <c r="E341" s="96"/>
    </row>
    <row r="342">
      <c r="A342" s="95"/>
      <c r="B342" s="96"/>
      <c r="C342" s="96"/>
      <c r="D342" s="96"/>
      <c r="E342" s="96"/>
    </row>
    <row r="343">
      <c r="A343" s="95"/>
      <c r="B343" s="96"/>
      <c r="C343" s="96"/>
      <c r="D343" s="96"/>
      <c r="E343" s="96"/>
    </row>
    <row r="344">
      <c r="A344" s="95"/>
      <c r="B344" s="96"/>
      <c r="C344" s="96"/>
      <c r="D344" s="96"/>
      <c r="E344" s="96"/>
    </row>
    <row r="345">
      <c r="A345" s="95"/>
      <c r="B345" s="96"/>
      <c r="C345" s="96"/>
      <c r="D345" s="96"/>
      <c r="E345" s="96"/>
    </row>
    <row r="346">
      <c r="A346" s="95"/>
      <c r="B346" s="96"/>
      <c r="C346" s="96"/>
      <c r="D346" s="96"/>
      <c r="E346" s="96"/>
    </row>
    <row r="347">
      <c r="A347" s="95"/>
      <c r="B347" s="96"/>
      <c r="C347" s="96"/>
      <c r="D347" s="96"/>
      <c r="E347" s="96"/>
    </row>
    <row r="348">
      <c r="A348" s="95"/>
      <c r="B348" s="96"/>
      <c r="C348" s="96"/>
      <c r="D348" s="96"/>
      <c r="E348" s="96"/>
    </row>
    <row r="349">
      <c r="A349" s="95"/>
      <c r="B349" s="96"/>
      <c r="C349" s="96"/>
      <c r="D349" s="96"/>
      <c r="E349" s="96"/>
    </row>
    <row r="350">
      <c r="A350" s="95"/>
      <c r="B350" s="96"/>
      <c r="C350" s="96"/>
      <c r="D350" s="96"/>
      <c r="E350" s="96"/>
    </row>
    <row r="351">
      <c r="A351" s="95"/>
      <c r="B351" s="96"/>
      <c r="C351" s="96"/>
      <c r="D351" s="96"/>
      <c r="E351" s="96"/>
    </row>
    <row r="352">
      <c r="A352" s="95"/>
      <c r="B352" s="96"/>
      <c r="C352" s="96"/>
      <c r="D352" s="96"/>
      <c r="E352" s="96"/>
    </row>
    <row r="353">
      <c r="A353" s="95"/>
      <c r="B353" s="96"/>
      <c r="C353" s="96"/>
      <c r="D353" s="96"/>
      <c r="E353" s="96"/>
    </row>
    <row r="354">
      <c r="A354" s="95"/>
      <c r="B354" s="96"/>
      <c r="C354" s="96"/>
      <c r="D354" s="96"/>
      <c r="E354" s="96"/>
    </row>
    <row r="355">
      <c r="A355" s="95"/>
      <c r="B355" s="96"/>
      <c r="C355" s="96"/>
      <c r="D355" s="96"/>
      <c r="E355" s="96"/>
    </row>
    <row r="356">
      <c r="A356" s="95"/>
      <c r="B356" s="96"/>
      <c r="C356" s="96"/>
      <c r="D356" s="96"/>
      <c r="E356" s="96"/>
    </row>
    <row r="357">
      <c r="A357" s="95"/>
      <c r="B357" s="96"/>
      <c r="C357" s="96"/>
      <c r="D357" s="96"/>
      <c r="E357" s="96"/>
    </row>
    <row r="358">
      <c r="A358" s="95"/>
      <c r="B358" s="96"/>
      <c r="C358" s="96"/>
      <c r="D358" s="96"/>
      <c r="E358" s="96"/>
    </row>
    <row r="359">
      <c r="A359" s="95"/>
      <c r="B359" s="96"/>
      <c r="C359" s="96"/>
      <c r="D359" s="96"/>
      <c r="E359" s="96"/>
    </row>
    <row r="360">
      <c r="A360" s="95"/>
      <c r="B360" s="96"/>
      <c r="C360" s="96"/>
      <c r="D360" s="96"/>
      <c r="E360" s="96"/>
    </row>
    <row r="361">
      <c r="A361" s="95"/>
      <c r="B361" s="96"/>
      <c r="C361" s="96"/>
      <c r="D361" s="96"/>
      <c r="E361" s="96"/>
    </row>
    <row r="362">
      <c r="A362" s="95"/>
      <c r="B362" s="96"/>
      <c r="C362" s="96"/>
      <c r="D362" s="96"/>
      <c r="E362" s="96"/>
    </row>
    <row r="363">
      <c r="A363" s="95"/>
      <c r="B363" s="96"/>
      <c r="C363" s="96"/>
      <c r="D363" s="96"/>
      <c r="E363" s="96"/>
    </row>
    <row r="364">
      <c r="A364" s="95"/>
      <c r="B364" s="96"/>
      <c r="C364" s="96"/>
      <c r="D364" s="96"/>
      <c r="E364" s="96"/>
    </row>
    <row r="365">
      <c r="A365" s="95"/>
      <c r="B365" s="96"/>
      <c r="C365" s="96"/>
      <c r="D365" s="96"/>
      <c r="E365" s="96"/>
    </row>
    <row r="366">
      <c r="A366" s="95"/>
      <c r="B366" s="96"/>
      <c r="C366" s="96"/>
      <c r="D366" s="96"/>
      <c r="E366" s="96"/>
    </row>
    <row r="367">
      <c r="A367" s="95"/>
      <c r="B367" s="96"/>
      <c r="C367" s="96"/>
      <c r="D367" s="96"/>
      <c r="E367" s="96"/>
    </row>
    <row r="368">
      <c r="A368" s="95"/>
      <c r="B368" s="96"/>
      <c r="C368" s="96"/>
      <c r="D368" s="96"/>
      <c r="E368" s="96"/>
    </row>
    <row r="369">
      <c r="A369" s="95"/>
      <c r="B369" s="96"/>
      <c r="C369" s="96"/>
      <c r="D369" s="96"/>
      <c r="E369" s="96"/>
    </row>
    <row r="370">
      <c r="A370" s="95"/>
      <c r="B370" s="96"/>
      <c r="C370" s="96"/>
      <c r="D370" s="96"/>
      <c r="E370" s="96"/>
    </row>
    <row r="371">
      <c r="A371" s="95"/>
      <c r="B371" s="96"/>
      <c r="C371" s="96"/>
      <c r="D371" s="96"/>
      <c r="E371" s="96"/>
    </row>
    <row r="372">
      <c r="A372" s="95"/>
      <c r="B372" s="96"/>
      <c r="C372" s="96"/>
      <c r="D372" s="96"/>
      <c r="E372" s="96"/>
    </row>
    <row r="373">
      <c r="A373" s="95"/>
      <c r="B373" s="96"/>
      <c r="C373" s="96"/>
      <c r="D373" s="96"/>
      <c r="E373" s="96"/>
    </row>
    <row r="374">
      <c r="A374" s="95"/>
      <c r="B374" s="96"/>
      <c r="C374" s="96"/>
      <c r="D374" s="96"/>
      <c r="E374" s="96"/>
    </row>
    <row r="375">
      <c r="A375" s="95"/>
      <c r="B375" s="96"/>
      <c r="C375" s="96"/>
      <c r="D375" s="96"/>
      <c r="E375" s="96"/>
    </row>
    <row r="376">
      <c r="A376" s="95"/>
      <c r="B376" s="96"/>
      <c r="C376" s="96"/>
      <c r="D376" s="96"/>
      <c r="E376" s="96"/>
    </row>
    <row r="377">
      <c r="A377" s="95"/>
      <c r="B377" s="96"/>
      <c r="C377" s="96"/>
      <c r="D377" s="96"/>
      <c r="E377" s="96"/>
    </row>
    <row r="378">
      <c r="A378" s="95"/>
      <c r="B378" s="96"/>
      <c r="C378" s="96"/>
      <c r="D378" s="96"/>
      <c r="E378" s="96"/>
    </row>
    <row r="379">
      <c r="A379" s="95"/>
      <c r="B379" s="96"/>
      <c r="C379" s="96"/>
      <c r="D379" s="96"/>
      <c r="E379" s="96"/>
    </row>
    <row r="380">
      <c r="A380" s="95"/>
      <c r="B380" s="96"/>
      <c r="C380" s="96"/>
      <c r="D380" s="96"/>
      <c r="E380" s="96"/>
    </row>
    <row r="381">
      <c r="A381" s="95"/>
      <c r="B381" s="96"/>
      <c r="C381" s="96"/>
      <c r="D381" s="96"/>
      <c r="E381" s="96"/>
    </row>
    <row r="382">
      <c r="A382" s="95"/>
      <c r="B382" s="96"/>
      <c r="C382" s="96"/>
      <c r="D382" s="96"/>
      <c r="E382" s="96"/>
    </row>
    <row r="383">
      <c r="A383" s="95"/>
      <c r="B383" s="96"/>
      <c r="C383" s="96"/>
      <c r="D383" s="96"/>
      <c r="E383" s="96"/>
    </row>
    <row r="384">
      <c r="A384" s="95"/>
      <c r="B384" s="96"/>
      <c r="C384" s="96"/>
      <c r="D384" s="96"/>
      <c r="E384" s="96"/>
    </row>
    <row r="385">
      <c r="A385" s="95"/>
      <c r="B385" s="96"/>
      <c r="C385" s="96"/>
      <c r="D385" s="96"/>
      <c r="E385" s="96"/>
    </row>
    <row r="386">
      <c r="A386" s="95"/>
      <c r="B386" s="96"/>
      <c r="C386" s="96"/>
      <c r="D386" s="96"/>
      <c r="E386" s="96"/>
    </row>
    <row r="387">
      <c r="A387" s="95"/>
      <c r="B387" s="96"/>
      <c r="C387" s="96"/>
      <c r="D387" s="96"/>
      <c r="E387" s="96"/>
    </row>
    <row r="388">
      <c r="A388" s="95"/>
      <c r="B388" s="96"/>
      <c r="C388" s="96"/>
      <c r="D388" s="96"/>
      <c r="E388" s="96"/>
    </row>
    <row r="389">
      <c r="A389" s="95"/>
      <c r="B389" s="96"/>
      <c r="C389" s="96"/>
      <c r="D389" s="96"/>
      <c r="E389" s="96"/>
    </row>
    <row r="390">
      <c r="A390" s="95"/>
      <c r="B390" s="96"/>
      <c r="C390" s="96"/>
      <c r="D390" s="96"/>
      <c r="E390" s="96"/>
    </row>
    <row r="391">
      <c r="A391" s="95"/>
      <c r="B391" s="96"/>
      <c r="C391" s="96"/>
      <c r="D391" s="96"/>
      <c r="E391" s="96"/>
    </row>
    <row r="392">
      <c r="A392" s="95"/>
      <c r="B392" s="96"/>
      <c r="C392" s="96"/>
      <c r="D392" s="96"/>
      <c r="E392" s="96"/>
    </row>
    <row r="393">
      <c r="A393" s="95"/>
      <c r="B393" s="96"/>
      <c r="C393" s="96"/>
      <c r="D393" s="96"/>
      <c r="E393" s="96"/>
    </row>
    <row r="394">
      <c r="A394" s="95"/>
      <c r="B394" s="96"/>
      <c r="C394" s="96"/>
      <c r="D394" s="96"/>
      <c r="E394" s="96"/>
    </row>
    <row r="395">
      <c r="A395" s="95"/>
      <c r="B395" s="96"/>
      <c r="C395" s="96"/>
      <c r="D395" s="96"/>
      <c r="E395" s="96"/>
    </row>
    <row r="396">
      <c r="A396" s="95"/>
      <c r="B396" s="96"/>
      <c r="C396" s="96"/>
      <c r="D396" s="96"/>
      <c r="E396" s="96"/>
    </row>
    <row r="397">
      <c r="A397" s="95"/>
      <c r="B397" s="96"/>
      <c r="C397" s="96"/>
      <c r="D397" s="96"/>
      <c r="E397" s="96"/>
    </row>
    <row r="398">
      <c r="A398" s="95"/>
      <c r="B398" s="96"/>
      <c r="C398" s="96"/>
      <c r="D398" s="96"/>
      <c r="E398" s="96"/>
    </row>
    <row r="399">
      <c r="A399" s="95"/>
      <c r="B399" s="96"/>
      <c r="C399" s="96"/>
      <c r="D399" s="96"/>
      <c r="E399" s="96"/>
    </row>
    <row r="400">
      <c r="A400" s="95"/>
      <c r="B400" s="96"/>
      <c r="C400" s="96"/>
      <c r="D400" s="96"/>
      <c r="E400" s="96"/>
    </row>
    <row r="401">
      <c r="A401" s="95"/>
      <c r="B401" s="96"/>
      <c r="C401" s="96"/>
      <c r="D401" s="96"/>
      <c r="E401" s="96"/>
    </row>
    <row r="402">
      <c r="A402" s="95"/>
      <c r="B402" s="96"/>
      <c r="C402" s="96"/>
      <c r="D402" s="96"/>
      <c r="E402" s="96"/>
    </row>
    <row r="403">
      <c r="A403" s="95"/>
      <c r="B403" s="96"/>
      <c r="C403" s="96"/>
      <c r="D403" s="96"/>
      <c r="E403" s="96"/>
    </row>
    <row r="404">
      <c r="A404" s="95"/>
      <c r="B404" s="96"/>
      <c r="C404" s="96"/>
      <c r="D404" s="96"/>
      <c r="E404" s="96"/>
    </row>
    <row r="405">
      <c r="A405" s="95"/>
      <c r="B405" s="96"/>
      <c r="C405" s="96"/>
      <c r="D405" s="96"/>
      <c r="E405" s="96"/>
    </row>
    <row r="406">
      <c r="A406" s="95"/>
      <c r="B406" s="96"/>
      <c r="C406" s="96"/>
      <c r="D406" s="96"/>
      <c r="E406" s="96"/>
    </row>
    <row r="407">
      <c r="A407" s="95"/>
      <c r="B407" s="96"/>
      <c r="C407" s="96"/>
      <c r="D407" s="96"/>
      <c r="E407" s="96"/>
    </row>
    <row r="408">
      <c r="A408" s="95"/>
      <c r="B408" s="96"/>
      <c r="C408" s="96"/>
      <c r="D408" s="96"/>
      <c r="E408" s="96"/>
    </row>
    <row r="409">
      <c r="A409" s="95"/>
      <c r="B409" s="96"/>
      <c r="C409" s="96"/>
      <c r="D409" s="96"/>
      <c r="E409" s="96"/>
    </row>
    <row r="410">
      <c r="A410" s="95"/>
      <c r="B410" s="96"/>
      <c r="C410" s="96"/>
      <c r="D410" s="96"/>
      <c r="E410" s="96"/>
    </row>
    <row r="411">
      <c r="A411" s="95"/>
      <c r="B411" s="96"/>
      <c r="C411" s="96"/>
      <c r="D411" s="96"/>
      <c r="E411" s="96"/>
    </row>
    <row r="412">
      <c r="A412" s="95"/>
      <c r="B412" s="96"/>
      <c r="C412" s="96"/>
      <c r="D412" s="96"/>
      <c r="E412" s="96"/>
    </row>
    <row r="413">
      <c r="A413" s="95"/>
      <c r="B413" s="96"/>
      <c r="C413" s="96"/>
      <c r="D413" s="96"/>
      <c r="E413" s="96"/>
    </row>
    <row r="414">
      <c r="A414" s="95"/>
      <c r="B414" s="96"/>
      <c r="C414" s="96"/>
      <c r="D414" s="96"/>
      <c r="E414" s="96"/>
    </row>
    <row r="415">
      <c r="A415" s="95"/>
      <c r="B415" s="96"/>
      <c r="C415" s="96"/>
      <c r="D415" s="96"/>
      <c r="E415" s="96"/>
    </row>
    <row r="416">
      <c r="A416" s="95"/>
      <c r="B416" s="96"/>
      <c r="C416" s="96"/>
      <c r="D416" s="96"/>
      <c r="E416" s="96"/>
    </row>
    <row r="417">
      <c r="A417" s="95"/>
      <c r="B417" s="96"/>
      <c r="C417" s="96"/>
      <c r="D417" s="96"/>
      <c r="E417" s="96"/>
    </row>
    <row r="418">
      <c r="A418" s="95"/>
      <c r="B418" s="96"/>
      <c r="C418" s="96"/>
      <c r="D418" s="96"/>
      <c r="E418" s="96"/>
    </row>
    <row r="419">
      <c r="A419" s="95"/>
      <c r="B419" s="96"/>
      <c r="C419" s="96"/>
      <c r="D419" s="96"/>
      <c r="E419" s="96"/>
    </row>
    <row r="420">
      <c r="A420" s="95"/>
      <c r="B420" s="96"/>
      <c r="C420" s="96"/>
      <c r="D420" s="96"/>
      <c r="E420" s="96"/>
    </row>
    <row r="421">
      <c r="A421" s="95"/>
      <c r="B421" s="96"/>
      <c r="C421" s="96"/>
      <c r="D421" s="96"/>
      <c r="E421" s="96"/>
    </row>
    <row r="422">
      <c r="A422" s="95"/>
      <c r="B422" s="96"/>
      <c r="C422" s="96"/>
      <c r="D422" s="96"/>
      <c r="E422" s="96"/>
    </row>
    <row r="423">
      <c r="A423" s="95"/>
      <c r="B423" s="96"/>
      <c r="C423" s="96"/>
      <c r="D423" s="96"/>
      <c r="E423" s="96"/>
    </row>
    <row r="424">
      <c r="A424" s="95"/>
      <c r="B424" s="96"/>
      <c r="C424" s="96"/>
      <c r="D424" s="96"/>
      <c r="E424" s="96"/>
    </row>
  </sheetData>
  <mergeCells count="48">
    <mergeCell ref="E30:E31"/>
    <mergeCell ref="E32:E33"/>
    <mergeCell ref="E16:E17"/>
    <mergeCell ref="E18:E19"/>
    <mergeCell ref="E20:E21"/>
    <mergeCell ref="E22:E23"/>
    <mergeCell ref="E24:E25"/>
    <mergeCell ref="E26:E27"/>
    <mergeCell ref="E28:E29"/>
    <mergeCell ref="D6:D7"/>
    <mergeCell ref="E6:E7"/>
    <mergeCell ref="A2:A3"/>
    <mergeCell ref="D2:D3"/>
    <mergeCell ref="E2:E3"/>
    <mergeCell ref="A4:A5"/>
    <mergeCell ref="E4:E5"/>
    <mergeCell ref="A6:A7"/>
    <mergeCell ref="E8:E9"/>
    <mergeCell ref="D4:D5"/>
    <mergeCell ref="D8:D9"/>
    <mergeCell ref="D10:D11"/>
    <mergeCell ref="E10:E11"/>
    <mergeCell ref="D12:D13"/>
    <mergeCell ref="E12:E13"/>
    <mergeCell ref="E14:E15"/>
    <mergeCell ref="A22:A23"/>
    <mergeCell ref="A24:A25"/>
    <mergeCell ref="A26:A27"/>
    <mergeCell ref="A28:A29"/>
    <mergeCell ref="A30:A31"/>
    <mergeCell ref="A32:A33"/>
    <mergeCell ref="A8:A9"/>
    <mergeCell ref="A10:A11"/>
    <mergeCell ref="A12:A13"/>
    <mergeCell ref="A14:A15"/>
    <mergeCell ref="A16:A17"/>
    <mergeCell ref="A18:A19"/>
    <mergeCell ref="A20:A21"/>
    <mergeCell ref="D28:D29"/>
    <mergeCell ref="D30:D31"/>
    <mergeCell ref="D32:D33"/>
    <mergeCell ref="D14:D15"/>
    <mergeCell ref="D16:D17"/>
    <mergeCell ref="D18:D19"/>
    <mergeCell ref="D20:D21"/>
    <mergeCell ref="D22:D23"/>
    <mergeCell ref="D24:D25"/>
    <mergeCell ref="D26:D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126</v>
      </c>
      <c r="B1" s="98" t="s">
        <v>127</v>
      </c>
      <c r="C1" s="99" t="s">
        <v>38</v>
      </c>
      <c r="D1" s="100" t="s">
        <v>60</v>
      </c>
      <c r="E1" s="101" t="s">
        <v>128</v>
      </c>
      <c r="F1" s="102" t="s">
        <v>77</v>
      </c>
      <c r="G1" s="103" t="s">
        <v>129</v>
      </c>
      <c r="H1" s="104"/>
      <c r="I1" s="97" t="s">
        <v>130</v>
      </c>
      <c r="J1" s="98" t="s">
        <v>127</v>
      </c>
      <c r="K1" s="99" t="s">
        <v>38</v>
      </c>
      <c r="L1" s="100" t="s">
        <v>60</v>
      </c>
      <c r="M1" s="101" t="s">
        <v>128</v>
      </c>
      <c r="N1" s="102" t="s">
        <v>77</v>
      </c>
    </row>
    <row r="2">
      <c r="A2" s="105" t="s">
        <v>11</v>
      </c>
      <c r="B2" s="106">
        <v>0.5899365</v>
      </c>
      <c r="C2" s="106">
        <v>0.5599</v>
      </c>
      <c r="D2" s="107">
        <v>0.47</v>
      </c>
      <c r="E2" s="107">
        <v>0.72</v>
      </c>
      <c r="F2" s="107">
        <v>0.03</v>
      </c>
      <c r="G2" s="108"/>
      <c r="I2" s="109" t="s">
        <v>131</v>
      </c>
    </row>
    <row r="3">
      <c r="A3" s="105" t="s">
        <v>20</v>
      </c>
      <c r="B3" s="106">
        <v>0.36892450000000004</v>
      </c>
      <c r="C3" s="106">
        <v>0.48810000000000003</v>
      </c>
      <c r="D3" s="107">
        <v>0.25</v>
      </c>
      <c r="E3" s="107">
        <v>0.71</v>
      </c>
      <c r="F3" s="107">
        <v>0.46</v>
      </c>
      <c r="G3" s="108"/>
      <c r="I3" s="110" t="s">
        <v>132</v>
      </c>
    </row>
    <row r="4">
      <c r="A4" s="105" t="s">
        <v>23</v>
      </c>
      <c r="B4" s="106">
        <v>0.5567175</v>
      </c>
      <c r="C4" s="106">
        <v>0.5587</v>
      </c>
      <c r="D4" s="107">
        <v>0.34</v>
      </c>
      <c r="E4" s="107">
        <v>0.95</v>
      </c>
      <c r="F4" s="107">
        <v>0.0</v>
      </c>
      <c r="G4" s="108"/>
      <c r="I4" s="111" t="s">
        <v>133</v>
      </c>
    </row>
    <row r="5">
      <c r="A5" s="105" t="s">
        <v>25</v>
      </c>
      <c r="B5" s="106">
        <v>0.4427969999999999</v>
      </c>
      <c r="C5" s="106">
        <v>0.48918749999999994</v>
      </c>
      <c r="D5" s="107">
        <v>0.43</v>
      </c>
      <c r="E5" s="107">
        <v>0.5</v>
      </c>
      <c r="F5" s="107">
        <v>0.45</v>
      </c>
      <c r="G5" s="108"/>
      <c r="I5" s="112" t="s">
        <v>134</v>
      </c>
    </row>
    <row r="6">
      <c r="A6" s="113" t="s">
        <v>28</v>
      </c>
      <c r="B6" s="106">
        <v>0.662572</v>
      </c>
      <c r="C6" s="106">
        <v>0.5387375000000001</v>
      </c>
      <c r="D6" s="107">
        <v>0.69</v>
      </c>
      <c r="E6" s="107">
        <v>0.82</v>
      </c>
      <c r="F6" s="107">
        <v>0.66</v>
      </c>
      <c r="G6" s="108"/>
    </row>
    <row r="7">
      <c r="A7" s="113" t="s">
        <v>30</v>
      </c>
      <c r="B7" s="106">
        <v>0.8965369999999999</v>
      </c>
      <c r="C7" s="106">
        <v>0.6247</v>
      </c>
      <c r="D7" s="107">
        <v>0.73</v>
      </c>
      <c r="E7" s="107">
        <v>0.81</v>
      </c>
      <c r="F7" s="107">
        <v>0.46</v>
      </c>
      <c r="G7" s="108"/>
    </row>
    <row r="8">
      <c r="A8" s="114" t="s">
        <v>32</v>
      </c>
      <c r="B8" s="106">
        <v>0.28612899999999997</v>
      </c>
      <c r="C8" s="107">
        <v>0.4</v>
      </c>
      <c r="D8" s="107">
        <v>0.25</v>
      </c>
      <c r="E8" s="107">
        <v>0.42</v>
      </c>
      <c r="F8" s="107">
        <v>0.02</v>
      </c>
      <c r="G8" s="108"/>
    </row>
    <row r="9">
      <c r="A9" s="114" t="s">
        <v>35</v>
      </c>
      <c r="B9" s="106">
        <v>0.3658905</v>
      </c>
      <c r="C9" s="107">
        <v>0.44</v>
      </c>
      <c r="D9" s="107">
        <v>0.23</v>
      </c>
      <c r="E9" s="107">
        <v>0.49</v>
      </c>
      <c r="F9" s="107">
        <v>0.02</v>
      </c>
      <c r="G9" s="108"/>
    </row>
    <row r="10">
      <c r="A10" s="105" t="s">
        <v>37</v>
      </c>
      <c r="B10" s="106">
        <v>0.540825</v>
      </c>
      <c r="C10" s="107">
        <v>0.45</v>
      </c>
      <c r="D10" s="107">
        <v>0.65</v>
      </c>
      <c r="E10" s="107">
        <v>0.78</v>
      </c>
      <c r="F10" s="107">
        <v>0.45</v>
      </c>
      <c r="G10" s="108"/>
    </row>
    <row r="11">
      <c r="A11" s="105" t="s">
        <v>41</v>
      </c>
      <c r="B11" s="106">
        <v>0.39481</v>
      </c>
      <c r="C11" s="107">
        <v>0.46</v>
      </c>
      <c r="D11" s="107">
        <v>0.39</v>
      </c>
      <c r="E11" s="107">
        <v>0.62</v>
      </c>
      <c r="F11" s="107">
        <v>0.54</v>
      </c>
      <c r="G11" s="108"/>
    </row>
    <row r="12">
      <c r="A12" s="105" t="s">
        <v>43</v>
      </c>
      <c r="B12" s="106">
        <v>0.31646250000000004</v>
      </c>
      <c r="C12" s="107">
        <v>0.45</v>
      </c>
      <c r="D12" s="107">
        <v>0.36</v>
      </c>
      <c r="E12" s="107">
        <v>0.54</v>
      </c>
      <c r="F12" s="107">
        <v>0.04</v>
      </c>
      <c r="G12" s="108"/>
    </row>
    <row r="13">
      <c r="A13" s="105" t="s">
        <v>45</v>
      </c>
      <c r="B13" s="106">
        <v>0.4656085</v>
      </c>
      <c r="C13" s="107">
        <v>0.44</v>
      </c>
      <c r="D13" s="107">
        <v>0.47</v>
      </c>
      <c r="E13" s="107">
        <v>0.57</v>
      </c>
      <c r="F13" s="107">
        <v>0.01</v>
      </c>
      <c r="G13" s="108"/>
    </row>
    <row r="14">
      <c r="A14" s="105" t="s">
        <v>47</v>
      </c>
      <c r="B14" s="107">
        <v>0.49</v>
      </c>
      <c r="C14" s="107">
        <v>0.44</v>
      </c>
      <c r="D14" s="107">
        <v>0.42</v>
      </c>
      <c r="E14" s="107">
        <v>0.56</v>
      </c>
      <c r="F14" s="107">
        <v>0.39</v>
      </c>
      <c r="G14" s="108"/>
    </row>
    <row r="15">
      <c r="A15" s="113" t="s">
        <v>50</v>
      </c>
      <c r="B15" s="107">
        <v>0.6</v>
      </c>
      <c r="C15" s="107">
        <v>0.5</v>
      </c>
      <c r="D15" s="107">
        <v>0.62</v>
      </c>
      <c r="E15" s="107">
        <v>0.51</v>
      </c>
      <c r="F15" s="107">
        <v>0.54</v>
      </c>
      <c r="G15" s="108"/>
    </row>
    <row r="16">
      <c r="A16" s="105" t="s">
        <v>52</v>
      </c>
      <c r="B16" s="106">
        <v>0.5309470000000001</v>
      </c>
      <c r="C16" s="107">
        <v>0.58</v>
      </c>
      <c r="D16" s="107">
        <v>0.78</v>
      </c>
      <c r="E16" s="107">
        <v>0.77</v>
      </c>
      <c r="F16" s="107">
        <v>0.03</v>
      </c>
      <c r="G16" s="108"/>
    </row>
    <row r="17">
      <c r="A17" s="105" t="s">
        <v>54</v>
      </c>
      <c r="B17" s="107">
        <v>0.32</v>
      </c>
      <c r="C17" s="107">
        <v>0.5</v>
      </c>
      <c r="D17" s="107">
        <v>0.47</v>
      </c>
      <c r="E17" s="107">
        <v>0.57</v>
      </c>
      <c r="F17" s="107">
        <v>0.02</v>
      </c>
      <c r="G17" s="108"/>
    </row>
    <row r="18">
      <c r="B18" s="106"/>
      <c r="C18" s="106"/>
    </row>
    <row r="19">
      <c r="B19" s="106"/>
      <c r="C19" s="106"/>
    </row>
    <row r="20">
      <c r="B20" s="106"/>
      <c r="C20" s="106"/>
    </row>
    <row r="21">
      <c r="B21" s="106"/>
      <c r="C21" s="106"/>
    </row>
    <row r="22">
      <c r="B22" s="106"/>
      <c r="C22" s="106"/>
    </row>
    <row r="23">
      <c r="B23" s="106"/>
      <c r="C23" s="106"/>
    </row>
    <row r="24">
      <c r="B24" s="106"/>
      <c r="C24" s="106"/>
    </row>
    <row r="25">
      <c r="B25" s="106"/>
      <c r="C25" s="106"/>
    </row>
    <row r="26">
      <c r="B26" s="106"/>
      <c r="C26" s="106"/>
    </row>
    <row r="27">
      <c r="B27" s="106"/>
      <c r="C27" s="106"/>
    </row>
    <row r="28">
      <c r="B28" s="106"/>
      <c r="C28" s="106"/>
    </row>
    <row r="29">
      <c r="B29" s="106"/>
      <c r="C29" s="106"/>
    </row>
    <row r="30">
      <c r="B30" s="106"/>
      <c r="C30" s="106"/>
    </row>
    <row r="31">
      <c r="B31" s="106"/>
      <c r="C31" s="106"/>
    </row>
    <row r="32">
      <c r="B32" s="106"/>
      <c r="C32" s="106"/>
    </row>
    <row r="33">
      <c r="B33" s="106"/>
      <c r="C33" s="106"/>
    </row>
    <row r="34">
      <c r="B34" s="106"/>
      <c r="C34" s="106"/>
    </row>
    <row r="35">
      <c r="B35" s="106"/>
      <c r="C35" s="106"/>
    </row>
    <row r="36">
      <c r="B36" s="106"/>
      <c r="C36" s="106"/>
    </row>
    <row r="37">
      <c r="B37" s="106"/>
      <c r="C37" s="106"/>
    </row>
    <row r="38">
      <c r="B38" s="106"/>
      <c r="C38" s="106"/>
    </row>
    <row r="39">
      <c r="B39" s="106"/>
      <c r="C39" s="106"/>
    </row>
    <row r="40">
      <c r="B40" s="106"/>
      <c r="C40" s="106"/>
    </row>
    <row r="41">
      <c r="B41" s="106"/>
      <c r="C41" s="106"/>
    </row>
    <row r="42">
      <c r="B42" s="106"/>
      <c r="C42" s="106"/>
    </row>
    <row r="43">
      <c r="B43" s="106"/>
      <c r="C43" s="106"/>
    </row>
    <row r="44">
      <c r="B44" s="106"/>
      <c r="C44" s="106"/>
    </row>
    <row r="45">
      <c r="B45" s="106"/>
      <c r="C45" s="106"/>
    </row>
    <row r="46">
      <c r="B46" s="106"/>
      <c r="C46" s="106"/>
    </row>
    <row r="47">
      <c r="B47" s="106"/>
      <c r="C47" s="106"/>
    </row>
    <row r="48">
      <c r="B48" s="106"/>
      <c r="C48" s="106"/>
    </row>
    <row r="49">
      <c r="B49" s="106"/>
      <c r="C49" s="106"/>
    </row>
    <row r="50">
      <c r="B50" s="106"/>
      <c r="C50" s="106"/>
    </row>
    <row r="51">
      <c r="B51" s="106"/>
      <c r="C51" s="106"/>
    </row>
    <row r="52">
      <c r="B52" s="106"/>
      <c r="C52" s="106"/>
    </row>
    <row r="53">
      <c r="B53" s="106"/>
      <c r="C53" s="106"/>
    </row>
    <row r="54">
      <c r="B54" s="106"/>
      <c r="C54" s="106"/>
    </row>
    <row r="55">
      <c r="B55" s="106"/>
      <c r="C55" s="106"/>
    </row>
    <row r="56">
      <c r="B56" s="106"/>
      <c r="C56" s="106"/>
    </row>
    <row r="57">
      <c r="B57" s="106"/>
      <c r="C57" s="106"/>
    </row>
    <row r="58">
      <c r="B58" s="106"/>
      <c r="C58" s="106"/>
    </row>
    <row r="59">
      <c r="B59" s="106"/>
      <c r="C59" s="106"/>
    </row>
    <row r="60">
      <c r="B60" s="106"/>
      <c r="C60" s="106"/>
    </row>
    <row r="61">
      <c r="B61" s="106"/>
      <c r="C61" s="106"/>
    </row>
    <row r="62">
      <c r="B62" s="106"/>
      <c r="C62" s="106"/>
    </row>
    <row r="63">
      <c r="B63" s="106"/>
      <c r="C63" s="106"/>
    </row>
    <row r="64">
      <c r="B64" s="106"/>
      <c r="C64" s="106"/>
    </row>
    <row r="65">
      <c r="B65" s="106"/>
      <c r="C65" s="106"/>
    </row>
    <row r="66">
      <c r="B66" s="108"/>
      <c r="C66" s="106"/>
    </row>
    <row r="67">
      <c r="B67" s="108"/>
      <c r="C67" s="106"/>
    </row>
    <row r="68">
      <c r="B68" s="108"/>
      <c r="C68" s="108"/>
    </row>
    <row r="69">
      <c r="B69" s="108"/>
      <c r="C69" s="108"/>
    </row>
    <row r="70">
      <c r="B70" s="108"/>
      <c r="C70" s="108"/>
    </row>
    <row r="71">
      <c r="B71" s="108"/>
      <c r="C71" s="108"/>
    </row>
    <row r="72">
      <c r="B72" s="108"/>
      <c r="C72" s="108"/>
    </row>
    <row r="73">
      <c r="B73" s="108"/>
      <c r="C73" s="108"/>
    </row>
    <row r="74">
      <c r="B74" s="108"/>
      <c r="C74" s="108"/>
    </row>
    <row r="75">
      <c r="B75" s="108"/>
      <c r="C75" s="108"/>
    </row>
    <row r="76">
      <c r="B76" s="108"/>
      <c r="C76" s="108"/>
    </row>
    <row r="77">
      <c r="B77" s="108"/>
      <c r="C77" s="108"/>
    </row>
    <row r="78">
      <c r="B78" s="108"/>
      <c r="C78" s="108"/>
    </row>
    <row r="79">
      <c r="B79" s="108"/>
      <c r="C79" s="108"/>
    </row>
    <row r="80">
      <c r="B80" s="108"/>
      <c r="C80" s="108"/>
    </row>
    <row r="81">
      <c r="B81" s="108"/>
      <c r="C81" s="108"/>
    </row>
    <row r="82">
      <c r="B82" s="108"/>
      <c r="C82" s="108"/>
    </row>
    <row r="83">
      <c r="B83" s="108"/>
      <c r="C83" s="108"/>
    </row>
    <row r="84">
      <c r="B84" s="108"/>
      <c r="C84" s="108"/>
    </row>
    <row r="85">
      <c r="B85" s="108"/>
      <c r="C85" s="108"/>
    </row>
    <row r="86">
      <c r="B86" s="108"/>
      <c r="C86" s="108"/>
    </row>
    <row r="87">
      <c r="B87" s="108"/>
      <c r="C87" s="108"/>
    </row>
    <row r="88">
      <c r="B88" s="108"/>
      <c r="C88" s="108"/>
    </row>
    <row r="89">
      <c r="B89" s="108"/>
      <c r="C89" s="108"/>
    </row>
    <row r="90">
      <c r="B90" s="108"/>
      <c r="C90" s="108"/>
    </row>
    <row r="91">
      <c r="B91" s="108"/>
      <c r="C91" s="108"/>
    </row>
    <row r="92">
      <c r="B92" s="108"/>
      <c r="C92" s="108"/>
    </row>
    <row r="93">
      <c r="B93" s="108"/>
      <c r="C93" s="108"/>
    </row>
    <row r="94">
      <c r="B94" s="108"/>
      <c r="C94" s="108"/>
    </row>
    <row r="95">
      <c r="B95" s="108"/>
      <c r="C95" s="108"/>
    </row>
    <row r="96">
      <c r="B96" s="108"/>
      <c r="C96" s="108"/>
    </row>
    <row r="97">
      <c r="B97" s="108"/>
      <c r="C97" s="108"/>
    </row>
    <row r="98">
      <c r="B98" s="108"/>
      <c r="C98" s="108"/>
    </row>
    <row r="99">
      <c r="B99" s="108"/>
      <c r="C99" s="108"/>
    </row>
    <row r="100">
      <c r="B100" s="108"/>
      <c r="C100" s="108"/>
    </row>
    <row r="101">
      <c r="B101" s="108"/>
      <c r="C101" s="108"/>
    </row>
    <row r="102">
      <c r="B102" s="108"/>
      <c r="C102" s="108"/>
    </row>
    <row r="103">
      <c r="B103" s="108"/>
      <c r="C103" s="108"/>
    </row>
    <row r="104">
      <c r="B104" s="108"/>
      <c r="C104" s="108"/>
    </row>
    <row r="105">
      <c r="B105" s="108"/>
      <c r="C105" s="108"/>
    </row>
    <row r="106">
      <c r="B106" s="108"/>
      <c r="C106" s="108"/>
    </row>
    <row r="107">
      <c r="B107" s="108"/>
      <c r="C107" s="108"/>
    </row>
    <row r="108">
      <c r="B108" s="108"/>
      <c r="C108" s="108"/>
    </row>
    <row r="109">
      <c r="B109" s="108"/>
      <c r="C109" s="108"/>
    </row>
    <row r="110">
      <c r="B110" s="108"/>
      <c r="C110" s="108"/>
    </row>
    <row r="111">
      <c r="B111" s="108"/>
      <c r="C111" s="108"/>
    </row>
    <row r="112">
      <c r="B112" s="108"/>
      <c r="C112" s="108"/>
    </row>
    <row r="113">
      <c r="B113" s="108"/>
      <c r="C113" s="108"/>
    </row>
    <row r="114">
      <c r="B114" s="108"/>
      <c r="C114" s="108"/>
    </row>
    <row r="115">
      <c r="B115" s="108"/>
      <c r="C115" s="108"/>
    </row>
    <row r="116">
      <c r="B116" s="108"/>
      <c r="C116" s="108"/>
    </row>
    <row r="117">
      <c r="B117" s="108"/>
      <c r="C117" s="108"/>
    </row>
    <row r="118">
      <c r="B118" s="108"/>
      <c r="C118" s="108"/>
    </row>
    <row r="119">
      <c r="B119" s="108"/>
      <c r="C119" s="108"/>
    </row>
    <row r="120">
      <c r="B120" s="108"/>
      <c r="C120" s="108"/>
    </row>
    <row r="121">
      <c r="B121" s="108"/>
      <c r="C121" s="108"/>
    </row>
    <row r="122">
      <c r="B122" s="108"/>
      <c r="C122" s="108"/>
    </row>
    <row r="123">
      <c r="B123" s="108"/>
      <c r="C123" s="108"/>
    </row>
    <row r="124">
      <c r="B124" s="108"/>
      <c r="C124" s="108"/>
    </row>
    <row r="125">
      <c r="B125" s="108"/>
      <c r="C125" s="108"/>
    </row>
    <row r="126">
      <c r="B126" s="108"/>
      <c r="C126" s="108"/>
    </row>
    <row r="127">
      <c r="B127" s="108"/>
      <c r="C127" s="108"/>
    </row>
    <row r="128">
      <c r="B128" s="108"/>
      <c r="C128" s="108"/>
    </row>
    <row r="129">
      <c r="B129" s="108"/>
      <c r="C129" s="108"/>
    </row>
    <row r="130">
      <c r="B130" s="108"/>
      <c r="C130" s="108"/>
    </row>
    <row r="131">
      <c r="B131" s="108"/>
      <c r="C131" s="108"/>
    </row>
    <row r="132">
      <c r="B132" s="108"/>
      <c r="C132" s="108"/>
    </row>
    <row r="133">
      <c r="B133" s="108"/>
      <c r="C133" s="108"/>
    </row>
    <row r="134">
      <c r="B134" s="108"/>
      <c r="C134" s="108"/>
    </row>
    <row r="135">
      <c r="B135" s="108"/>
      <c r="C135" s="108"/>
    </row>
    <row r="136">
      <c r="B136" s="108"/>
      <c r="C136" s="108"/>
    </row>
    <row r="137">
      <c r="B137" s="108"/>
      <c r="C137" s="108"/>
    </row>
    <row r="138">
      <c r="B138" s="108"/>
      <c r="C138" s="108"/>
    </row>
    <row r="139">
      <c r="B139" s="108"/>
      <c r="C139" s="108"/>
    </row>
    <row r="140">
      <c r="B140" s="108"/>
      <c r="C140" s="108"/>
    </row>
    <row r="141">
      <c r="B141" s="108"/>
      <c r="C141" s="108"/>
    </row>
    <row r="142">
      <c r="B142" s="108"/>
      <c r="C142" s="108"/>
    </row>
    <row r="143">
      <c r="B143" s="108"/>
      <c r="C143" s="108"/>
    </row>
    <row r="144">
      <c r="B144" s="108"/>
      <c r="C144" s="108"/>
    </row>
    <row r="145">
      <c r="B145" s="108"/>
      <c r="C145" s="108"/>
    </row>
    <row r="146">
      <c r="B146" s="108"/>
      <c r="C146" s="108"/>
    </row>
    <row r="147">
      <c r="B147" s="108"/>
      <c r="C147" s="108"/>
    </row>
    <row r="148">
      <c r="B148" s="108"/>
      <c r="C148" s="108"/>
    </row>
    <row r="149">
      <c r="B149" s="108"/>
      <c r="C149" s="108"/>
    </row>
    <row r="150">
      <c r="B150" s="108"/>
      <c r="C150" s="108"/>
    </row>
    <row r="151">
      <c r="B151" s="108"/>
      <c r="C151" s="108"/>
    </row>
    <row r="152">
      <c r="B152" s="108"/>
      <c r="C152" s="108"/>
    </row>
    <row r="153">
      <c r="B153" s="108"/>
      <c r="C153" s="108"/>
    </row>
    <row r="154">
      <c r="B154" s="108"/>
      <c r="C154" s="108"/>
    </row>
    <row r="155">
      <c r="B155" s="108"/>
      <c r="C155" s="108"/>
    </row>
    <row r="156">
      <c r="B156" s="108"/>
      <c r="C156" s="108"/>
    </row>
    <row r="157">
      <c r="B157" s="108"/>
      <c r="C157" s="108"/>
    </row>
    <row r="158">
      <c r="B158" s="108"/>
      <c r="C158" s="108"/>
    </row>
    <row r="159">
      <c r="B159" s="108"/>
      <c r="C159" s="108"/>
    </row>
    <row r="160">
      <c r="B160" s="108"/>
      <c r="C160" s="108"/>
    </row>
    <row r="161">
      <c r="B161" s="108"/>
      <c r="C161" s="108"/>
    </row>
    <row r="162">
      <c r="B162" s="108"/>
      <c r="C162" s="108"/>
    </row>
    <row r="163">
      <c r="B163" s="108"/>
      <c r="C163" s="108"/>
    </row>
    <row r="164">
      <c r="B164" s="108"/>
      <c r="C164" s="108"/>
    </row>
    <row r="165">
      <c r="B165" s="108"/>
      <c r="C165" s="108"/>
    </row>
    <row r="166">
      <c r="B166" s="108"/>
      <c r="C166" s="108"/>
    </row>
    <row r="167">
      <c r="B167" s="108"/>
      <c r="C167" s="108"/>
    </row>
    <row r="168">
      <c r="B168" s="108"/>
      <c r="C168" s="108"/>
    </row>
    <row r="169">
      <c r="B169" s="108"/>
      <c r="C169" s="108"/>
    </row>
    <row r="170">
      <c r="B170" s="108"/>
      <c r="C170" s="108"/>
    </row>
    <row r="171">
      <c r="B171" s="108"/>
      <c r="C171" s="108"/>
    </row>
    <row r="172">
      <c r="B172" s="108"/>
      <c r="C172" s="108"/>
    </row>
    <row r="173">
      <c r="B173" s="108"/>
      <c r="C173" s="108"/>
    </row>
    <row r="174">
      <c r="B174" s="108"/>
      <c r="C174" s="108"/>
    </row>
    <row r="175">
      <c r="B175" s="108"/>
      <c r="C175" s="108"/>
    </row>
    <row r="176">
      <c r="B176" s="108"/>
      <c r="C176" s="108"/>
    </row>
    <row r="177">
      <c r="B177" s="108"/>
      <c r="C177" s="108"/>
    </row>
    <row r="178">
      <c r="B178" s="108"/>
      <c r="C178" s="108"/>
    </row>
    <row r="179">
      <c r="B179" s="108"/>
      <c r="C179" s="108"/>
    </row>
    <row r="180">
      <c r="B180" s="108"/>
      <c r="C180" s="108"/>
    </row>
    <row r="181">
      <c r="B181" s="108"/>
      <c r="C181" s="108"/>
    </row>
    <row r="182">
      <c r="B182" s="108"/>
      <c r="C182" s="108"/>
    </row>
    <row r="183">
      <c r="B183" s="108"/>
      <c r="C183" s="108"/>
    </row>
    <row r="184">
      <c r="B184" s="108"/>
      <c r="C184" s="108"/>
    </row>
    <row r="185">
      <c r="B185" s="108"/>
      <c r="C185" s="108"/>
    </row>
    <row r="186">
      <c r="B186" s="108"/>
      <c r="C186" s="108"/>
    </row>
    <row r="187">
      <c r="B187" s="108"/>
      <c r="C187" s="108"/>
    </row>
    <row r="188">
      <c r="B188" s="108"/>
      <c r="C188" s="108"/>
    </row>
    <row r="189">
      <c r="B189" s="108"/>
      <c r="C189" s="108"/>
    </row>
    <row r="190">
      <c r="B190" s="108"/>
      <c r="C190" s="108"/>
    </row>
    <row r="191">
      <c r="B191" s="108"/>
      <c r="C191" s="108"/>
    </row>
    <row r="192">
      <c r="B192" s="108"/>
      <c r="C192" s="108"/>
    </row>
    <row r="193">
      <c r="B193" s="108"/>
      <c r="C193" s="108"/>
    </row>
    <row r="194">
      <c r="B194" s="108"/>
      <c r="C194" s="108"/>
    </row>
    <row r="195">
      <c r="B195" s="108"/>
      <c r="C195" s="108"/>
    </row>
    <row r="196">
      <c r="B196" s="108"/>
      <c r="C196" s="108"/>
    </row>
    <row r="197">
      <c r="B197" s="108"/>
      <c r="C197" s="108"/>
    </row>
    <row r="198">
      <c r="B198" s="108"/>
      <c r="C198" s="108"/>
    </row>
    <row r="199">
      <c r="B199" s="108"/>
      <c r="C199" s="108"/>
    </row>
    <row r="200">
      <c r="B200" s="108"/>
      <c r="C200" s="108"/>
    </row>
    <row r="201">
      <c r="B201" s="108"/>
      <c r="C201" s="108"/>
    </row>
    <row r="202">
      <c r="B202" s="108"/>
      <c r="C202" s="108"/>
    </row>
    <row r="203">
      <c r="B203" s="108"/>
      <c r="C203" s="108"/>
    </row>
    <row r="204">
      <c r="B204" s="108"/>
      <c r="C204" s="108"/>
    </row>
    <row r="205">
      <c r="B205" s="108"/>
      <c r="C205" s="108"/>
    </row>
    <row r="206">
      <c r="B206" s="108"/>
      <c r="C206" s="108"/>
    </row>
    <row r="207">
      <c r="B207" s="108"/>
      <c r="C207" s="108"/>
    </row>
    <row r="208">
      <c r="B208" s="108"/>
      <c r="C208" s="108"/>
    </row>
    <row r="209">
      <c r="B209" s="108"/>
      <c r="C209" s="108"/>
    </row>
    <row r="210">
      <c r="B210" s="108"/>
      <c r="C210" s="108"/>
    </row>
    <row r="211">
      <c r="B211" s="108"/>
      <c r="C211" s="108"/>
    </row>
    <row r="212">
      <c r="B212" s="108"/>
      <c r="C212" s="108"/>
    </row>
    <row r="213">
      <c r="B213" s="108"/>
      <c r="C213" s="108"/>
    </row>
    <row r="214">
      <c r="B214" s="108"/>
      <c r="C214" s="108"/>
    </row>
    <row r="215">
      <c r="B215" s="108"/>
      <c r="C215" s="108"/>
    </row>
    <row r="216">
      <c r="B216" s="108"/>
      <c r="C216" s="108"/>
    </row>
    <row r="217">
      <c r="B217" s="108"/>
      <c r="C217" s="108"/>
    </row>
    <row r="218">
      <c r="B218" s="108"/>
      <c r="C218" s="108"/>
    </row>
    <row r="219">
      <c r="B219" s="108"/>
      <c r="C219" s="108"/>
    </row>
    <row r="220">
      <c r="B220" s="108"/>
      <c r="C220" s="108"/>
    </row>
    <row r="221">
      <c r="B221" s="108"/>
      <c r="C221" s="108"/>
    </row>
    <row r="222">
      <c r="B222" s="108"/>
      <c r="C222" s="108"/>
    </row>
    <row r="223">
      <c r="B223" s="108"/>
      <c r="C223" s="108"/>
    </row>
    <row r="224">
      <c r="B224" s="108"/>
      <c r="C224" s="108"/>
    </row>
    <row r="225">
      <c r="B225" s="108"/>
      <c r="C225" s="108"/>
    </row>
    <row r="226">
      <c r="B226" s="108"/>
      <c r="C226" s="108"/>
    </row>
    <row r="227">
      <c r="B227" s="108"/>
      <c r="C227" s="108"/>
    </row>
    <row r="228">
      <c r="B228" s="108"/>
      <c r="C228" s="108"/>
    </row>
    <row r="229">
      <c r="B229" s="108"/>
      <c r="C229" s="108"/>
    </row>
    <row r="230">
      <c r="B230" s="108"/>
      <c r="C230" s="108"/>
    </row>
    <row r="231">
      <c r="B231" s="108"/>
      <c r="C231" s="108"/>
    </row>
    <row r="232">
      <c r="B232" s="108"/>
      <c r="C232" s="108"/>
    </row>
    <row r="233">
      <c r="B233" s="108"/>
      <c r="C233" s="108"/>
    </row>
    <row r="234">
      <c r="B234" s="108"/>
      <c r="C234" s="108"/>
    </row>
    <row r="235">
      <c r="B235" s="108"/>
      <c r="C235" s="108"/>
    </row>
    <row r="236">
      <c r="B236" s="108"/>
      <c r="C236" s="108"/>
    </row>
    <row r="237">
      <c r="B237" s="108"/>
      <c r="C237" s="108"/>
    </row>
    <row r="238">
      <c r="B238" s="108"/>
      <c r="C238" s="108"/>
    </row>
    <row r="239">
      <c r="B239" s="108"/>
      <c r="C239" s="108"/>
    </row>
    <row r="240">
      <c r="B240" s="108"/>
      <c r="C240" s="108"/>
    </row>
    <row r="241">
      <c r="B241" s="108"/>
      <c r="C241" s="108"/>
    </row>
    <row r="242">
      <c r="B242" s="108"/>
      <c r="C242" s="108"/>
    </row>
    <row r="243">
      <c r="B243" s="108"/>
      <c r="C243" s="108"/>
    </row>
    <row r="244">
      <c r="B244" s="108"/>
      <c r="C244" s="108"/>
    </row>
    <row r="245">
      <c r="B245" s="108"/>
      <c r="C245" s="108"/>
    </row>
    <row r="246">
      <c r="B246" s="108"/>
      <c r="C246" s="108"/>
    </row>
    <row r="247">
      <c r="B247" s="108"/>
      <c r="C247" s="108"/>
    </row>
    <row r="248">
      <c r="B248" s="108"/>
      <c r="C248" s="108"/>
    </row>
    <row r="249">
      <c r="B249" s="108"/>
      <c r="C249" s="108"/>
    </row>
    <row r="250">
      <c r="B250" s="108"/>
      <c r="C250" s="108"/>
    </row>
    <row r="251">
      <c r="B251" s="108"/>
      <c r="C251" s="108"/>
    </row>
    <row r="252">
      <c r="B252" s="108"/>
      <c r="C252" s="108"/>
    </row>
    <row r="253">
      <c r="B253" s="108"/>
      <c r="C253" s="108"/>
    </row>
    <row r="254">
      <c r="B254" s="108"/>
      <c r="C254" s="108"/>
    </row>
    <row r="255">
      <c r="B255" s="108"/>
      <c r="C255" s="108"/>
    </row>
    <row r="256">
      <c r="B256" s="108"/>
      <c r="C256" s="108"/>
    </row>
    <row r="257">
      <c r="B257" s="108"/>
      <c r="C257" s="108"/>
    </row>
    <row r="258">
      <c r="B258" s="108"/>
      <c r="C258" s="108"/>
    </row>
    <row r="259">
      <c r="B259" s="108"/>
      <c r="C259" s="108"/>
    </row>
    <row r="260">
      <c r="B260" s="108"/>
      <c r="C260" s="108"/>
    </row>
    <row r="261">
      <c r="B261" s="108"/>
      <c r="C261" s="108"/>
    </row>
    <row r="262">
      <c r="B262" s="108"/>
      <c r="C262" s="108"/>
    </row>
    <row r="263">
      <c r="B263" s="108"/>
      <c r="C263" s="108"/>
    </row>
    <row r="264">
      <c r="B264" s="108"/>
      <c r="C264" s="108"/>
    </row>
    <row r="265">
      <c r="B265" s="108"/>
      <c r="C265" s="108"/>
    </row>
    <row r="266">
      <c r="B266" s="108"/>
      <c r="C266" s="108"/>
    </row>
    <row r="267">
      <c r="B267" s="108"/>
      <c r="C267" s="108"/>
    </row>
    <row r="268">
      <c r="B268" s="108"/>
      <c r="C268" s="108"/>
    </row>
    <row r="269">
      <c r="B269" s="108"/>
      <c r="C269" s="108"/>
    </row>
    <row r="270">
      <c r="B270" s="108"/>
      <c r="C270" s="108"/>
    </row>
    <row r="271">
      <c r="B271" s="108"/>
      <c r="C271" s="108"/>
    </row>
    <row r="272">
      <c r="B272" s="108"/>
      <c r="C272" s="108"/>
    </row>
    <row r="273">
      <c r="B273" s="108"/>
      <c r="C273" s="108"/>
    </row>
    <row r="274">
      <c r="B274" s="108"/>
      <c r="C274" s="108"/>
    </row>
    <row r="275">
      <c r="B275" s="108"/>
      <c r="C275" s="108"/>
    </row>
    <row r="276">
      <c r="B276" s="108"/>
      <c r="C276" s="108"/>
    </row>
    <row r="277">
      <c r="B277" s="108"/>
      <c r="C277" s="108"/>
    </row>
    <row r="278">
      <c r="B278" s="108"/>
      <c r="C278" s="108"/>
    </row>
    <row r="279">
      <c r="B279" s="108"/>
      <c r="C279" s="108"/>
    </row>
    <row r="280">
      <c r="B280" s="108"/>
      <c r="C280" s="108"/>
    </row>
    <row r="281">
      <c r="B281" s="108"/>
      <c r="C281" s="108"/>
    </row>
    <row r="282">
      <c r="B282" s="108"/>
      <c r="C282" s="108"/>
    </row>
    <row r="283">
      <c r="B283" s="108"/>
      <c r="C283" s="108"/>
    </row>
    <row r="284">
      <c r="B284" s="108"/>
      <c r="C284" s="108"/>
    </row>
    <row r="285">
      <c r="B285" s="108"/>
      <c r="C285" s="108"/>
    </row>
    <row r="286">
      <c r="B286" s="108"/>
      <c r="C286" s="108"/>
    </row>
    <row r="287">
      <c r="B287" s="108"/>
      <c r="C287" s="108"/>
    </row>
    <row r="288">
      <c r="B288" s="108"/>
      <c r="C288" s="108"/>
    </row>
    <row r="289">
      <c r="B289" s="108"/>
      <c r="C289" s="108"/>
    </row>
    <row r="290">
      <c r="B290" s="108"/>
      <c r="C290" s="108"/>
    </row>
    <row r="291">
      <c r="B291" s="108"/>
      <c r="C291" s="108"/>
    </row>
    <row r="292">
      <c r="B292" s="108"/>
      <c r="C292" s="108"/>
    </row>
    <row r="293">
      <c r="B293" s="108"/>
      <c r="C293" s="108"/>
    </row>
    <row r="294">
      <c r="B294" s="108"/>
      <c r="C294" s="108"/>
    </row>
    <row r="295">
      <c r="B295" s="108"/>
      <c r="C295" s="108"/>
    </row>
    <row r="296">
      <c r="B296" s="108"/>
      <c r="C296" s="108"/>
    </row>
    <row r="297">
      <c r="B297" s="108"/>
      <c r="C297" s="108"/>
    </row>
    <row r="298">
      <c r="B298" s="108"/>
      <c r="C298" s="108"/>
    </row>
    <row r="299">
      <c r="B299" s="108"/>
      <c r="C299" s="108"/>
    </row>
    <row r="300">
      <c r="B300" s="108"/>
      <c r="C300" s="108"/>
    </row>
    <row r="301">
      <c r="B301" s="108"/>
      <c r="C301" s="108"/>
    </row>
    <row r="302">
      <c r="B302" s="108"/>
      <c r="C302" s="108"/>
    </row>
    <row r="303">
      <c r="B303" s="108"/>
      <c r="C303" s="108"/>
    </row>
    <row r="304">
      <c r="B304" s="108"/>
      <c r="C304" s="108"/>
    </row>
    <row r="305">
      <c r="B305" s="108"/>
      <c r="C305" s="108"/>
    </row>
    <row r="306">
      <c r="B306" s="108"/>
      <c r="C306" s="108"/>
    </row>
    <row r="307">
      <c r="B307" s="108"/>
      <c r="C307" s="108"/>
    </row>
    <row r="308">
      <c r="B308" s="108"/>
      <c r="C308" s="108"/>
    </row>
    <row r="309">
      <c r="B309" s="108"/>
      <c r="C309" s="108"/>
    </row>
    <row r="310">
      <c r="B310" s="108"/>
      <c r="C310" s="108"/>
    </row>
    <row r="311">
      <c r="B311" s="108"/>
      <c r="C311" s="108"/>
    </row>
    <row r="312">
      <c r="B312" s="108"/>
      <c r="C312" s="108"/>
    </row>
    <row r="313">
      <c r="B313" s="108"/>
      <c r="C313" s="108"/>
    </row>
    <row r="314">
      <c r="B314" s="108"/>
      <c r="C314" s="108"/>
    </row>
    <row r="315">
      <c r="B315" s="108"/>
      <c r="C315" s="108"/>
    </row>
    <row r="316">
      <c r="B316" s="108"/>
      <c r="C316" s="108"/>
    </row>
    <row r="317">
      <c r="B317" s="108"/>
      <c r="C317" s="108"/>
    </row>
    <row r="318">
      <c r="B318" s="108"/>
      <c r="C318" s="108"/>
    </row>
    <row r="319">
      <c r="B319" s="108"/>
      <c r="C319" s="108"/>
    </row>
    <row r="320">
      <c r="B320" s="108"/>
      <c r="C320" s="108"/>
    </row>
    <row r="321">
      <c r="B321" s="108"/>
      <c r="C321" s="108"/>
    </row>
    <row r="322">
      <c r="B322" s="108"/>
      <c r="C322" s="108"/>
    </row>
    <row r="323">
      <c r="B323" s="108"/>
      <c r="C323" s="108"/>
    </row>
    <row r="324">
      <c r="B324" s="108"/>
      <c r="C324" s="108"/>
    </row>
    <row r="325">
      <c r="B325" s="108"/>
      <c r="C325" s="108"/>
    </row>
    <row r="326">
      <c r="B326" s="108"/>
      <c r="C326" s="108"/>
    </row>
    <row r="327">
      <c r="B327" s="108"/>
      <c r="C327" s="108"/>
    </row>
    <row r="328">
      <c r="B328" s="108"/>
      <c r="C328" s="108"/>
    </row>
    <row r="329">
      <c r="B329" s="108"/>
      <c r="C329" s="108"/>
    </row>
    <row r="330">
      <c r="B330" s="108"/>
      <c r="C330" s="108"/>
    </row>
    <row r="331">
      <c r="B331" s="108"/>
      <c r="C331" s="108"/>
    </row>
    <row r="332">
      <c r="B332" s="108"/>
      <c r="C332" s="108"/>
    </row>
    <row r="333">
      <c r="B333" s="108"/>
      <c r="C333" s="108"/>
    </row>
    <row r="334">
      <c r="B334" s="108"/>
      <c r="C334" s="108"/>
    </row>
    <row r="335">
      <c r="B335" s="108"/>
      <c r="C335" s="108"/>
    </row>
    <row r="336">
      <c r="B336" s="108"/>
      <c r="C336" s="108"/>
    </row>
    <row r="337">
      <c r="B337" s="108"/>
      <c r="C337" s="108"/>
    </row>
    <row r="338">
      <c r="B338" s="108"/>
      <c r="C338" s="108"/>
    </row>
    <row r="339">
      <c r="B339" s="108"/>
      <c r="C339" s="108"/>
    </row>
    <row r="340">
      <c r="B340" s="108"/>
      <c r="C340" s="108"/>
    </row>
    <row r="341">
      <c r="B341" s="108"/>
      <c r="C341" s="108"/>
    </row>
    <row r="342">
      <c r="B342" s="108"/>
      <c r="C342" s="108"/>
    </row>
    <row r="343">
      <c r="B343" s="108"/>
      <c r="C343" s="108"/>
    </row>
    <row r="344">
      <c r="B344" s="108"/>
      <c r="C344" s="108"/>
    </row>
    <row r="345">
      <c r="B345" s="108"/>
      <c r="C345" s="108"/>
    </row>
    <row r="346">
      <c r="B346" s="108"/>
      <c r="C346" s="108"/>
    </row>
    <row r="347">
      <c r="B347" s="108"/>
      <c r="C347" s="108"/>
    </row>
    <row r="348">
      <c r="B348" s="108"/>
      <c r="C348" s="108"/>
    </row>
    <row r="349">
      <c r="B349" s="108"/>
      <c r="C349" s="108"/>
    </row>
    <row r="350">
      <c r="B350" s="108"/>
      <c r="C350" s="108"/>
    </row>
    <row r="351">
      <c r="B351" s="108"/>
      <c r="C351" s="108"/>
    </row>
    <row r="352">
      <c r="B352" s="108"/>
      <c r="C352" s="108"/>
    </row>
    <row r="353">
      <c r="B353" s="108"/>
      <c r="C353" s="108"/>
    </row>
    <row r="354">
      <c r="B354" s="108"/>
      <c r="C354" s="108"/>
    </row>
    <row r="355">
      <c r="B355" s="108"/>
      <c r="C355" s="108"/>
    </row>
    <row r="356">
      <c r="B356" s="108"/>
      <c r="C356" s="108"/>
    </row>
    <row r="357">
      <c r="B357" s="108"/>
      <c r="C357" s="108"/>
    </row>
    <row r="358">
      <c r="B358" s="108"/>
      <c r="C358" s="108"/>
    </row>
    <row r="359">
      <c r="B359" s="108"/>
      <c r="C359" s="108"/>
    </row>
    <row r="360">
      <c r="B360" s="108"/>
      <c r="C360" s="108"/>
    </row>
    <row r="361">
      <c r="B361" s="108"/>
      <c r="C361" s="108"/>
    </row>
    <row r="362">
      <c r="B362" s="108"/>
      <c r="C362" s="108"/>
    </row>
    <row r="363">
      <c r="B363" s="108"/>
      <c r="C363" s="108"/>
    </row>
    <row r="364">
      <c r="B364" s="108"/>
      <c r="C364" s="108"/>
    </row>
    <row r="365">
      <c r="B365" s="108"/>
      <c r="C365" s="108"/>
    </row>
    <row r="366">
      <c r="B366" s="108"/>
      <c r="C366" s="108"/>
    </row>
    <row r="367">
      <c r="B367" s="108"/>
      <c r="C367" s="108"/>
    </row>
    <row r="368">
      <c r="B368" s="108"/>
      <c r="C368" s="108"/>
    </row>
    <row r="369">
      <c r="B369" s="108"/>
      <c r="C369" s="108"/>
    </row>
    <row r="370">
      <c r="B370" s="108"/>
      <c r="C370" s="108"/>
    </row>
    <row r="371">
      <c r="B371" s="108"/>
      <c r="C371" s="108"/>
    </row>
    <row r="372">
      <c r="B372" s="108"/>
      <c r="C372" s="108"/>
    </row>
    <row r="373">
      <c r="B373" s="108"/>
      <c r="C373" s="108"/>
    </row>
    <row r="374">
      <c r="B374" s="108"/>
      <c r="C374" s="108"/>
    </row>
    <row r="375">
      <c r="B375" s="108"/>
      <c r="C375" s="108"/>
    </row>
    <row r="376">
      <c r="B376" s="108"/>
      <c r="C376" s="108"/>
    </row>
    <row r="377">
      <c r="B377" s="108"/>
      <c r="C377" s="108"/>
    </row>
    <row r="378">
      <c r="B378" s="108"/>
      <c r="C378" s="108"/>
    </row>
    <row r="379">
      <c r="B379" s="108"/>
      <c r="C379" s="108"/>
    </row>
    <row r="380">
      <c r="B380" s="108"/>
      <c r="C380" s="108"/>
    </row>
    <row r="381">
      <c r="B381" s="108"/>
      <c r="C381" s="108"/>
    </row>
    <row r="382">
      <c r="B382" s="108"/>
      <c r="C382" s="108"/>
    </row>
    <row r="383">
      <c r="B383" s="108"/>
      <c r="C383" s="108"/>
    </row>
    <row r="384">
      <c r="B384" s="108"/>
      <c r="C384" s="108"/>
    </row>
    <row r="385">
      <c r="B385" s="108"/>
      <c r="C385" s="108"/>
    </row>
    <row r="386">
      <c r="B386" s="108"/>
      <c r="C386" s="108"/>
    </row>
    <row r="387">
      <c r="B387" s="108"/>
      <c r="C387" s="108"/>
    </row>
    <row r="388">
      <c r="B388" s="108"/>
      <c r="C388" s="108"/>
    </row>
    <row r="389">
      <c r="B389" s="108"/>
      <c r="C389" s="108"/>
    </row>
    <row r="390">
      <c r="B390" s="108"/>
      <c r="C390" s="108"/>
    </row>
    <row r="391">
      <c r="B391" s="108"/>
      <c r="C391" s="108"/>
    </row>
    <row r="392">
      <c r="B392" s="108"/>
      <c r="C392" s="108"/>
    </row>
    <row r="393">
      <c r="B393" s="108"/>
      <c r="C393" s="108"/>
    </row>
    <row r="394">
      <c r="B394" s="108"/>
      <c r="C394" s="108"/>
    </row>
    <row r="395">
      <c r="B395" s="108"/>
      <c r="C395" s="108"/>
    </row>
    <row r="396">
      <c r="B396" s="108"/>
      <c r="C396" s="108"/>
    </row>
    <row r="397">
      <c r="B397" s="108"/>
      <c r="C397" s="108"/>
    </row>
    <row r="398">
      <c r="B398" s="108"/>
      <c r="C398" s="108"/>
    </row>
    <row r="399">
      <c r="B399" s="108"/>
      <c r="C399" s="108"/>
    </row>
    <row r="400">
      <c r="B400" s="108"/>
      <c r="C400" s="108"/>
    </row>
    <row r="401">
      <c r="B401" s="108"/>
      <c r="C401" s="108"/>
    </row>
    <row r="402">
      <c r="B402" s="108"/>
      <c r="C402" s="108"/>
    </row>
    <row r="403">
      <c r="B403" s="108"/>
      <c r="C403" s="108"/>
    </row>
    <row r="404">
      <c r="B404" s="108"/>
      <c r="C404" s="108"/>
    </row>
    <row r="405">
      <c r="B405" s="108"/>
      <c r="C405" s="108"/>
    </row>
    <row r="406">
      <c r="B406" s="108"/>
      <c r="C406" s="108"/>
    </row>
    <row r="407">
      <c r="B407" s="108"/>
      <c r="C407" s="108"/>
    </row>
    <row r="408">
      <c r="B408" s="108"/>
      <c r="C408" s="108"/>
    </row>
    <row r="409">
      <c r="B409" s="108"/>
      <c r="C409" s="108"/>
    </row>
    <row r="410">
      <c r="B410" s="108"/>
      <c r="C410" s="108"/>
    </row>
    <row r="411">
      <c r="B411" s="108"/>
      <c r="C411" s="108"/>
    </row>
    <row r="412">
      <c r="B412" s="108"/>
      <c r="C412" s="108"/>
    </row>
    <row r="413">
      <c r="B413" s="108"/>
      <c r="C413" s="108"/>
    </row>
    <row r="414">
      <c r="B414" s="108"/>
      <c r="C414" s="108"/>
    </row>
    <row r="415">
      <c r="B415" s="108"/>
      <c r="C415" s="108"/>
    </row>
    <row r="416">
      <c r="B416" s="108"/>
      <c r="C416" s="108"/>
    </row>
    <row r="417">
      <c r="B417" s="108"/>
      <c r="C417" s="108"/>
    </row>
    <row r="418">
      <c r="B418" s="108"/>
      <c r="C418" s="108"/>
    </row>
    <row r="419">
      <c r="B419" s="108"/>
      <c r="C419" s="108"/>
    </row>
    <row r="420">
      <c r="B420" s="108"/>
      <c r="C420" s="108"/>
    </row>
    <row r="421">
      <c r="B421" s="108"/>
      <c r="C421" s="108"/>
    </row>
    <row r="422">
      <c r="B422" s="108"/>
      <c r="C422" s="108"/>
    </row>
    <row r="423">
      <c r="B423" s="108"/>
      <c r="C423" s="108"/>
    </row>
    <row r="424">
      <c r="B424" s="108"/>
      <c r="C424" s="108"/>
    </row>
    <row r="425">
      <c r="B425" s="108"/>
      <c r="C425" s="108"/>
    </row>
    <row r="426">
      <c r="B426" s="108"/>
      <c r="C426" s="108"/>
    </row>
    <row r="427">
      <c r="B427" s="108"/>
      <c r="C427" s="108"/>
    </row>
    <row r="428">
      <c r="B428" s="108"/>
      <c r="C428" s="108"/>
    </row>
    <row r="429">
      <c r="B429" s="108"/>
      <c r="C429" s="108"/>
    </row>
    <row r="430">
      <c r="B430" s="108"/>
      <c r="C430" s="108"/>
    </row>
    <row r="431">
      <c r="B431" s="108"/>
      <c r="C431" s="108"/>
    </row>
    <row r="432">
      <c r="B432" s="108"/>
      <c r="C432" s="108"/>
    </row>
    <row r="433">
      <c r="B433" s="108"/>
      <c r="C433" s="108"/>
    </row>
    <row r="434">
      <c r="B434" s="108"/>
      <c r="C434" s="108"/>
    </row>
    <row r="435">
      <c r="B435" s="108"/>
      <c r="C435" s="108"/>
    </row>
    <row r="436">
      <c r="B436" s="108"/>
      <c r="C436" s="108"/>
    </row>
    <row r="437">
      <c r="B437" s="108"/>
      <c r="C437" s="108"/>
    </row>
    <row r="438">
      <c r="B438" s="108"/>
      <c r="C438" s="108"/>
    </row>
    <row r="439">
      <c r="B439" s="108"/>
      <c r="C439" s="108"/>
    </row>
    <row r="440">
      <c r="B440" s="108"/>
      <c r="C440" s="108"/>
    </row>
    <row r="441">
      <c r="B441" s="108"/>
      <c r="C441" s="108"/>
    </row>
    <row r="442">
      <c r="B442" s="108"/>
      <c r="C442" s="108"/>
    </row>
    <row r="443">
      <c r="B443" s="108"/>
      <c r="C443" s="108"/>
    </row>
    <row r="444">
      <c r="B444" s="108"/>
      <c r="C444" s="108"/>
    </row>
    <row r="445">
      <c r="B445" s="108"/>
      <c r="C445" s="108"/>
    </row>
    <row r="446">
      <c r="B446" s="108"/>
      <c r="C446" s="108"/>
    </row>
    <row r="447">
      <c r="B447" s="108"/>
      <c r="C447" s="108"/>
    </row>
    <row r="448">
      <c r="B448" s="108"/>
      <c r="C448" s="108"/>
    </row>
    <row r="449">
      <c r="B449" s="108"/>
      <c r="C449" s="108"/>
    </row>
    <row r="450">
      <c r="B450" s="108"/>
      <c r="C450" s="108"/>
    </row>
    <row r="451">
      <c r="B451" s="108"/>
      <c r="C451" s="108"/>
    </row>
    <row r="452">
      <c r="B452" s="108"/>
      <c r="C452" s="108"/>
    </row>
    <row r="453">
      <c r="B453" s="108"/>
      <c r="C453" s="108"/>
    </row>
    <row r="454">
      <c r="B454" s="108"/>
      <c r="C454" s="108"/>
    </row>
    <row r="455">
      <c r="B455" s="108"/>
      <c r="C455" s="108"/>
    </row>
    <row r="456">
      <c r="B456" s="108"/>
      <c r="C456" s="108"/>
    </row>
    <row r="457">
      <c r="B457" s="108"/>
      <c r="C457" s="108"/>
    </row>
    <row r="458">
      <c r="B458" s="108"/>
      <c r="C458" s="108"/>
    </row>
    <row r="459">
      <c r="B459" s="108"/>
      <c r="C459" s="108"/>
    </row>
    <row r="460">
      <c r="B460" s="108"/>
      <c r="C460" s="108"/>
    </row>
    <row r="461">
      <c r="B461" s="108"/>
      <c r="C461" s="108"/>
    </row>
    <row r="462">
      <c r="B462" s="108"/>
      <c r="C462" s="108"/>
    </row>
    <row r="463">
      <c r="B463" s="108"/>
      <c r="C463" s="108"/>
    </row>
    <row r="464">
      <c r="B464" s="108"/>
      <c r="C464" s="108"/>
    </row>
    <row r="465">
      <c r="B465" s="108"/>
      <c r="C465" s="108"/>
    </row>
    <row r="466">
      <c r="B466" s="108"/>
      <c r="C466" s="108"/>
    </row>
    <row r="467">
      <c r="B467" s="108"/>
      <c r="C467" s="108"/>
    </row>
    <row r="468">
      <c r="B468" s="108"/>
      <c r="C468" s="108"/>
    </row>
    <row r="469">
      <c r="B469" s="108"/>
      <c r="C469" s="108"/>
    </row>
    <row r="470">
      <c r="B470" s="108"/>
      <c r="C470" s="108"/>
    </row>
    <row r="471">
      <c r="B471" s="108"/>
      <c r="C471" s="108"/>
    </row>
    <row r="472">
      <c r="B472" s="108"/>
      <c r="C472" s="108"/>
    </row>
    <row r="473">
      <c r="B473" s="108"/>
      <c r="C473" s="108"/>
    </row>
    <row r="474">
      <c r="B474" s="108"/>
      <c r="C474" s="108"/>
    </row>
    <row r="475">
      <c r="B475" s="108"/>
      <c r="C475" s="108"/>
    </row>
    <row r="476">
      <c r="B476" s="108"/>
      <c r="C476" s="108"/>
    </row>
    <row r="477">
      <c r="B477" s="108"/>
      <c r="C477" s="108"/>
    </row>
    <row r="478">
      <c r="B478" s="108"/>
      <c r="C478" s="108"/>
    </row>
    <row r="479">
      <c r="B479" s="108"/>
      <c r="C479" s="108"/>
    </row>
    <row r="480">
      <c r="B480" s="108"/>
      <c r="C480" s="108"/>
    </row>
    <row r="481">
      <c r="B481" s="108"/>
      <c r="C481" s="108"/>
    </row>
    <row r="482">
      <c r="B482" s="108"/>
      <c r="C482" s="108"/>
    </row>
    <row r="483">
      <c r="B483" s="108"/>
      <c r="C483" s="108"/>
    </row>
    <row r="484">
      <c r="B484" s="108"/>
      <c r="C484" s="108"/>
    </row>
    <row r="485">
      <c r="B485" s="108"/>
      <c r="C485" s="108"/>
    </row>
    <row r="486">
      <c r="B486" s="108"/>
      <c r="C486" s="108"/>
    </row>
    <row r="487">
      <c r="B487" s="108"/>
      <c r="C487" s="108"/>
    </row>
    <row r="488">
      <c r="B488" s="108"/>
      <c r="C488" s="108"/>
    </row>
    <row r="489">
      <c r="B489" s="108"/>
      <c r="C489" s="108"/>
    </row>
    <row r="490">
      <c r="B490" s="108"/>
      <c r="C490" s="108"/>
    </row>
    <row r="491">
      <c r="B491" s="108"/>
      <c r="C491" s="108"/>
    </row>
    <row r="492">
      <c r="B492" s="108"/>
      <c r="C492" s="108"/>
    </row>
    <row r="493">
      <c r="B493" s="108"/>
      <c r="C493" s="108"/>
    </row>
    <row r="494">
      <c r="B494" s="108"/>
      <c r="C494" s="108"/>
    </row>
    <row r="495">
      <c r="B495" s="108"/>
      <c r="C495" s="108"/>
    </row>
    <row r="496">
      <c r="B496" s="108"/>
      <c r="C496" s="108"/>
    </row>
    <row r="497">
      <c r="B497" s="108"/>
      <c r="C497" s="108"/>
    </row>
    <row r="498">
      <c r="B498" s="108"/>
      <c r="C498" s="108"/>
    </row>
    <row r="499">
      <c r="B499" s="108"/>
      <c r="C499" s="108"/>
    </row>
    <row r="500">
      <c r="B500" s="108"/>
      <c r="C500" s="108"/>
    </row>
    <row r="501">
      <c r="B501" s="108"/>
      <c r="C501" s="108"/>
    </row>
    <row r="502">
      <c r="B502" s="108"/>
      <c r="C502" s="108"/>
    </row>
    <row r="503">
      <c r="B503" s="108"/>
      <c r="C503" s="108"/>
    </row>
    <row r="504">
      <c r="B504" s="108"/>
      <c r="C504" s="108"/>
    </row>
    <row r="505">
      <c r="B505" s="108"/>
      <c r="C505" s="108"/>
    </row>
    <row r="506">
      <c r="B506" s="108"/>
      <c r="C506" s="108"/>
    </row>
    <row r="507">
      <c r="B507" s="108"/>
      <c r="C507" s="108"/>
    </row>
    <row r="508">
      <c r="B508" s="108"/>
      <c r="C508" s="108"/>
    </row>
    <row r="509">
      <c r="B509" s="108"/>
      <c r="C509" s="108"/>
    </row>
    <row r="510">
      <c r="B510" s="108"/>
      <c r="C510" s="108"/>
    </row>
    <row r="511">
      <c r="B511" s="108"/>
      <c r="C511" s="108"/>
    </row>
    <row r="512">
      <c r="B512" s="108"/>
      <c r="C512" s="108"/>
    </row>
    <row r="513">
      <c r="B513" s="108"/>
      <c r="C513" s="108"/>
    </row>
    <row r="514">
      <c r="B514" s="108"/>
      <c r="C514" s="108"/>
    </row>
    <row r="515">
      <c r="B515" s="108"/>
      <c r="C515" s="108"/>
    </row>
    <row r="516">
      <c r="B516" s="108"/>
      <c r="C516" s="108"/>
    </row>
    <row r="517">
      <c r="B517" s="108"/>
      <c r="C517" s="108"/>
    </row>
    <row r="518">
      <c r="B518" s="108"/>
      <c r="C518" s="108"/>
    </row>
    <row r="519">
      <c r="B519" s="108"/>
      <c r="C519" s="108"/>
    </row>
    <row r="520">
      <c r="B520" s="108"/>
      <c r="C520" s="108"/>
    </row>
    <row r="521">
      <c r="B521" s="108"/>
      <c r="C521" s="108"/>
    </row>
    <row r="522">
      <c r="B522" s="108"/>
      <c r="C522" s="108"/>
    </row>
    <row r="523">
      <c r="B523" s="108"/>
      <c r="C523" s="108"/>
    </row>
    <row r="524">
      <c r="B524" s="108"/>
      <c r="C524" s="108"/>
    </row>
    <row r="525">
      <c r="B525" s="108"/>
      <c r="C525" s="108"/>
    </row>
    <row r="526">
      <c r="B526" s="108"/>
      <c r="C526" s="108"/>
    </row>
    <row r="527">
      <c r="B527" s="108"/>
      <c r="C527" s="108"/>
    </row>
    <row r="528">
      <c r="B528" s="108"/>
      <c r="C528" s="108"/>
    </row>
    <row r="529">
      <c r="B529" s="108"/>
      <c r="C529" s="108"/>
    </row>
    <row r="530">
      <c r="B530" s="108"/>
      <c r="C530" s="108"/>
    </row>
    <row r="531">
      <c r="B531" s="108"/>
      <c r="C531" s="108"/>
    </row>
    <row r="532">
      <c r="B532" s="108"/>
      <c r="C532" s="108"/>
    </row>
    <row r="533">
      <c r="B533" s="108"/>
      <c r="C533" s="108"/>
    </row>
    <row r="534">
      <c r="B534" s="108"/>
      <c r="C534" s="108"/>
    </row>
    <row r="535">
      <c r="B535" s="108"/>
      <c r="C535" s="108"/>
    </row>
    <row r="536">
      <c r="B536" s="108"/>
      <c r="C536" s="108"/>
    </row>
    <row r="537">
      <c r="B537" s="108"/>
      <c r="C537" s="108"/>
    </row>
    <row r="538">
      <c r="B538" s="108"/>
      <c r="C538" s="108"/>
    </row>
    <row r="539">
      <c r="B539" s="108"/>
      <c r="C539" s="108"/>
    </row>
    <row r="540">
      <c r="B540" s="108"/>
      <c r="C540" s="108"/>
    </row>
    <row r="541">
      <c r="B541" s="108"/>
      <c r="C541" s="108"/>
    </row>
    <row r="542">
      <c r="B542" s="108"/>
      <c r="C542" s="108"/>
    </row>
    <row r="543">
      <c r="B543" s="108"/>
      <c r="C543" s="108"/>
    </row>
    <row r="544">
      <c r="B544" s="108"/>
      <c r="C544" s="108"/>
    </row>
    <row r="545">
      <c r="B545" s="108"/>
      <c r="C545" s="108"/>
    </row>
    <row r="546">
      <c r="B546" s="108"/>
      <c r="C546" s="108"/>
    </row>
    <row r="547">
      <c r="B547" s="108"/>
      <c r="C547" s="108"/>
    </row>
    <row r="548">
      <c r="B548" s="108"/>
      <c r="C548" s="108"/>
    </row>
    <row r="549">
      <c r="B549" s="108"/>
      <c r="C549" s="108"/>
    </row>
    <row r="550">
      <c r="B550" s="108"/>
      <c r="C550" s="108"/>
    </row>
    <row r="551">
      <c r="B551" s="108"/>
      <c r="C551" s="108"/>
    </row>
    <row r="552">
      <c r="B552" s="108"/>
      <c r="C552" s="108"/>
    </row>
    <row r="553">
      <c r="B553" s="108"/>
      <c r="C553" s="108"/>
    </row>
    <row r="554">
      <c r="B554" s="108"/>
      <c r="C554" s="108"/>
    </row>
    <row r="555">
      <c r="B555" s="108"/>
      <c r="C555" s="108"/>
    </row>
    <row r="556">
      <c r="B556" s="108"/>
      <c r="C556" s="108"/>
    </row>
    <row r="557">
      <c r="B557" s="108"/>
      <c r="C557" s="108"/>
    </row>
    <row r="558">
      <c r="B558" s="108"/>
      <c r="C558" s="108"/>
    </row>
    <row r="559">
      <c r="B559" s="108"/>
      <c r="C559" s="108"/>
    </row>
    <row r="560">
      <c r="B560" s="108"/>
      <c r="C560" s="108"/>
    </row>
    <row r="561">
      <c r="B561" s="108"/>
      <c r="C561" s="108"/>
    </row>
    <row r="562">
      <c r="B562" s="108"/>
      <c r="C562" s="108"/>
    </row>
    <row r="563">
      <c r="B563" s="108"/>
      <c r="C563" s="108"/>
    </row>
    <row r="564">
      <c r="B564" s="108"/>
      <c r="C564" s="108"/>
    </row>
    <row r="565">
      <c r="B565" s="108"/>
      <c r="C565" s="108"/>
    </row>
    <row r="566">
      <c r="B566" s="108"/>
      <c r="C566" s="108"/>
    </row>
    <row r="567">
      <c r="B567" s="108"/>
      <c r="C567" s="108"/>
    </row>
    <row r="568">
      <c r="B568" s="108"/>
      <c r="C568" s="108"/>
    </row>
    <row r="569">
      <c r="B569" s="108"/>
      <c r="C569" s="108"/>
    </row>
    <row r="570">
      <c r="B570" s="108"/>
      <c r="C570" s="108"/>
    </row>
    <row r="571">
      <c r="B571" s="108"/>
      <c r="C571" s="108"/>
    </row>
    <row r="572">
      <c r="B572" s="108"/>
      <c r="C572" s="108"/>
    </row>
    <row r="573">
      <c r="B573" s="108"/>
      <c r="C573" s="108"/>
    </row>
    <row r="574">
      <c r="B574" s="108"/>
      <c r="C574" s="108"/>
    </row>
    <row r="575">
      <c r="B575" s="108"/>
      <c r="C575" s="108"/>
    </row>
    <row r="576">
      <c r="B576" s="108"/>
      <c r="C576" s="108"/>
    </row>
    <row r="577">
      <c r="B577" s="108"/>
      <c r="C577" s="108"/>
    </row>
    <row r="578">
      <c r="B578" s="108"/>
      <c r="C578" s="108"/>
    </row>
    <row r="579">
      <c r="B579" s="108"/>
      <c r="C579" s="108"/>
    </row>
    <row r="580">
      <c r="B580" s="108"/>
      <c r="C580" s="108"/>
    </row>
    <row r="581">
      <c r="B581" s="108"/>
      <c r="C581" s="108"/>
    </row>
    <row r="582">
      <c r="B582" s="108"/>
      <c r="C582" s="108"/>
    </row>
    <row r="583">
      <c r="B583" s="108"/>
      <c r="C583" s="108"/>
    </row>
    <row r="584">
      <c r="B584" s="108"/>
      <c r="C584" s="108"/>
    </row>
    <row r="585">
      <c r="B585" s="108"/>
      <c r="C585" s="108"/>
    </row>
    <row r="586">
      <c r="B586" s="108"/>
      <c r="C586" s="108"/>
    </row>
    <row r="587">
      <c r="B587" s="108"/>
      <c r="C587" s="108"/>
    </row>
    <row r="588">
      <c r="B588" s="108"/>
      <c r="C588" s="108"/>
    </row>
    <row r="589">
      <c r="B589" s="108"/>
      <c r="C589" s="108"/>
    </row>
    <row r="590">
      <c r="B590" s="108"/>
      <c r="C590" s="108"/>
    </row>
    <row r="591">
      <c r="B591" s="108"/>
      <c r="C591" s="108"/>
    </row>
    <row r="592">
      <c r="B592" s="108"/>
      <c r="C592" s="108"/>
    </row>
    <row r="593">
      <c r="B593" s="108"/>
      <c r="C593" s="108"/>
    </row>
    <row r="594">
      <c r="B594" s="108"/>
      <c r="C594" s="108"/>
    </row>
    <row r="595">
      <c r="B595" s="108"/>
      <c r="C595" s="108"/>
    </row>
    <row r="596">
      <c r="B596" s="108"/>
      <c r="C596" s="108"/>
    </row>
    <row r="597">
      <c r="B597" s="108"/>
      <c r="C597" s="108"/>
    </row>
    <row r="598">
      <c r="B598" s="108"/>
      <c r="C598" s="108"/>
    </row>
    <row r="599">
      <c r="B599" s="108"/>
      <c r="C599" s="108"/>
    </row>
    <row r="600">
      <c r="B600" s="108"/>
      <c r="C600" s="108"/>
    </row>
    <row r="601">
      <c r="B601" s="108"/>
      <c r="C601" s="108"/>
    </row>
    <row r="602">
      <c r="B602" s="108"/>
      <c r="C602" s="108"/>
    </row>
    <row r="603">
      <c r="B603" s="108"/>
      <c r="C603" s="108"/>
    </row>
    <row r="604">
      <c r="B604" s="108"/>
      <c r="C604" s="108"/>
    </row>
    <row r="605">
      <c r="B605" s="108"/>
      <c r="C605" s="108"/>
    </row>
    <row r="606">
      <c r="B606" s="108"/>
      <c r="C606" s="108"/>
    </row>
    <row r="607">
      <c r="B607" s="108"/>
      <c r="C607" s="108"/>
    </row>
    <row r="608">
      <c r="B608" s="108"/>
      <c r="C608" s="108"/>
    </row>
    <row r="609">
      <c r="B609" s="108"/>
      <c r="C609" s="108"/>
    </row>
    <row r="610">
      <c r="B610" s="108"/>
      <c r="C610" s="108"/>
    </row>
    <row r="611">
      <c r="B611" s="108"/>
      <c r="C611" s="108"/>
    </row>
    <row r="612">
      <c r="B612" s="108"/>
      <c r="C612" s="108"/>
    </row>
    <row r="613">
      <c r="B613" s="108"/>
      <c r="C613" s="108"/>
    </row>
    <row r="614">
      <c r="B614" s="108"/>
      <c r="C614" s="108"/>
    </row>
    <row r="615">
      <c r="B615" s="108"/>
      <c r="C615" s="108"/>
    </row>
    <row r="616">
      <c r="B616" s="108"/>
      <c r="C616" s="108"/>
    </row>
    <row r="617">
      <c r="B617" s="108"/>
      <c r="C617" s="108"/>
    </row>
    <row r="618">
      <c r="B618" s="108"/>
      <c r="C618" s="108"/>
    </row>
    <row r="619">
      <c r="B619" s="108"/>
      <c r="C619" s="108"/>
    </row>
    <row r="620">
      <c r="B620" s="108"/>
      <c r="C620" s="108"/>
    </row>
    <row r="621">
      <c r="B621" s="108"/>
      <c r="C621" s="108"/>
    </row>
    <row r="622">
      <c r="B622" s="108"/>
      <c r="C622" s="108"/>
    </row>
    <row r="623">
      <c r="B623" s="108"/>
      <c r="C623" s="108"/>
    </row>
    <row r="624">
      <c r="B624" s="108"/>
      <c r="C624" s="108"/>
    </row>
    <row r="625">
      <c r="B625" s="108"/>
      <c r="C625" s="108"/>
    </row>
    <row r="626">
      <c r="B626" s="108"/>
      <c r="C626" s="108"/>
    </row>
    <row r="627">
      <c r="B627" s="108"/>
      <c r="C627" s="108"/>
    </row>
    <row r="628">
      <c r="B628" s="108"/>
      <c r="C628" s="108"/>
    </row>
    <row r="629">
      <c r="B629" s="108"/>
      <c r="C629" s="108"/>
    </row>
    <row r="630">
      <c r="B630" s="108"/>
      <c r="C630" s="108"/>
    </row>
    <row r="631">
      <c r="B631" s="108"/>
      <c r="C631" s="108"/>
    </row>
    <row r="632">
      <c r="B632" s="108"/>
      <c r="C632" s="108"/>
    </row>
    <row r="633">
      <c r="B633" s="108"/>
      <c r="C633" s="108"/>
    </row>
    <row r="634">
      <c r="B634" s="108"/>
      <c r="C634" s="108"/>
    </row>
    <row r="635">
      <c r="B635" s="108"/>
      <c r="C635" s="108"/>
    </row>
    <row r="636">
      <c r="B636" s="108"/>
      <c r="C636" s="108"/>
    </row>
    <row r="637">
      <c r="B637" s="108"/>
      <c r="C637" s="108"/>
    </row>
    <row r="638">
      <c r="B638" s="108"/>
      <c r="C638" s="108"/>
    </row>
    <row r="639">
      <c r="B639" s="108"/>
      <c r="C639" s="108"/>
    </row>
    <row r="640">
      <c r="B640" s="108"/>
      <c r="C640" s="108"/>
    </row>
    <row r="641">
      <c r="B641" s="108"/>
      <c r="C641" s="108"/>
    </row>
    <row r="642">
      <c r="B642" s="108"/>
      <c r="C642" s="108"/>
    </row>
    <row r="643">
      <c r="B643" s="108"/>
      <c r="C643" s="108"/>
    </row>
    <row r="644">
      <c r="B644" s="108"/>
      <c r="C644" s="108"/>
    </row>
    <row r="645">
      <c r="B645" s="108"/>
      <c r="C645" s="108"/>
    </row>
    <row r="646">
      <c r="B646" s="108"/>
      <c r="C646" s="108"/>
    </row>
    <row r="647">
      <c r="B647" s="108"/>
      <c r="C647" s="108"/>
    </row>
    <row r="648">
      <c r="B648" s="108"/>
      <c r="C648" s="108"/>
    </row>
    <row r="649">
      <c r="B649" s="108"/>
      <c r="C649" s="108"/>
    </row>
    <row r="650">
      <c r="B650" s="108"/>
      <c r="C650" s="108"/>
    </row>
    <row r="651">
      <c r="B651" s="108"/>
      <c r="C651" s="108"/>
    </row>
    <row r="652">
      <c r="B652" s="108"/>
      <c r="C652" s="108"/>
    </row>
    <row r="653">
      <c r="B653" s="108"/>
      <c r="C653" s="108"/>
    </row>
    <row r="654">
      <c r="B654" s="108"/>
      <c r="C654" s="108"/>
    </row>
    <row r="655">
      <c r="B655" s="108"/>
      <c r="C655" s="108"/>
    </row>
    <row r="656">
      <c r="B656" s="108"/>
      <c r="C656" s="108"/>
    </row>
    <row r="657">
      <c r="B657" s="108"/>
      <c r="C657" s="108"/>
    </row>
    <row r="658">
      <c r="B658" s="108"/>
      <c r="C658" s="108"/>
    </row>
    <row r="659">
      <c r="B659" s="108"/>
      <c r="C659" s="108"/>
    </row>
    <row r="660">
      <c r="B660" s="108"/>
      <c r="C660" s="108"/>
    </row>
    <row r="661">
      <c r="B661" s="108"/>
      <c r="C661" s="108"/>
    </row>
    <row r="662">
      <c r="B662" s="108"/>
      <c r="C662" s="108"/>
    </row>
    <row r="663">
      <c r="B663" s="108"/>
      <c r="C663" s="108"/>
    </row>
    <row r="664">
      <c r="B664" s="108"/>
      <c r="C664" s="108"/>
    </row>
    <row r="665">
      <c r="B665" s="108"/>
      <c r="C665" s="108"/>
    </row>
    <row r="666">
      <c r="B666" s="108"/>
      <c r="C666" s="108"/>
    </row>
    <row r="667">
      <c r="B667" s="108"/>
      <c r="C667" s="108"/>
    </row>
    <row r="668">
      <c r="B668" s="108"/>
      <c r="C668" s="108"/>
    </row>
    <row r="669">
      <c r="B669" s="108"/>
      <c r="C669" s="108"/>
    </row>
    <row r="670">
      <c r="B670" s="108"/>
      <c r="C670" s="108"/>
    </row>
    <row r="671">
      <c r="B671" s="108"/>
      <c r="C671" s="108"/>
    </row>
    <row r="672">
      <c r="B672" s="108"/>
      <c r="C672" s="108"/>
    </row>
    <row r="673">
      <c r="B673" s="108"/>
      <c r="C673" s="108"/>
    </row>
    <row r="674">
      <c r="B674" s="108"/>
      <c r="C674" s="108"/>
    </row>
    <row r="675">
      <c r="B675" s="108"/>
      <c r="C675" s="108"/>
    </row>
    <row r="676">
      <c r="B676" s="108"/>
      <c r="C676" s="108"/>
    </row>
    <row r="677">
      <c r="B677" s="108"/>
      <c r="C677" s="108"/>
    </row>
    <row r="678">
      <c r="B678" s="108"/>
      <c r="C678" s="108"/>
    </row>
    <row r="679">
      <c r="B679" s="108"/>
      <c r="C679" s="108"/>
    </row>
    <row r="680">
      <c r="B680" s="108"/>
      <c r="C680" s="108"/>
    </row>
    <row r="681">
      <c r="B681" s="108"/>
      <c r="C681" s="108"/>
    </row>
    <row r="682">
      <c r="B682" s="108"/>
      <c r="C682" s="108"/>
    </row>
    <row r="683">
      <c r="B683" s="108"/>
      <c r="C683" s="108"/>
    </row>
    <row r="684">
      <c r="B684" s="108"/>
      <c r="C684" s="108"/>
    </row>
    <row r="685">
      <c r="B685" s="108"/>
      <c r="C685" s="108"/>
    </row>
    <row r="686">
      <c r="B686" s="108"/>
      <c r="C686" s="108"/>
    </row>
    <row r="687">
      <c r="B687" s="108"/>
      <c r="C687" s="108"/>
    </row>
    <row r="688">
      <c r="B688" s="108"/>
      <c r="C688" s="108"/>
    </row>
    <row r="689">
      <c r="B689" s="108"/>
      <c r="C689" s="108"/>
    </row>
    <row r="690">
      <c r="B690" s="108"/>
      <c r="C690" s="108"/>
    </row>
    <row r="691">
      <c r="B691" s="108"/>
      <c r="C691" s="108"/>
    </row>
    <row r="692">
      <c r="B692" s="108"/>
      <c r="C692" s="108"/>
    </row>
    <row r="693">
      <c r="B693" s="108"/>
      <c r="C693" s="108"/>
    </row>
    <row r="694">
      <c r="B694" s="108"/>
      <c r="C694" s="108"/>
    </row>
    <row r="695">
      <c r="B695" s="108"/>
      <c r="C695" s="108"/>
    </row>
    <row r="696">
      <c r="B696" s="108"/>
      <c r="C696" s="108"/>
    </row>
    <row r="697">
      <c r="B697" s="108"/>
      <c r="C697" s="108"/>
    </row>
    <row r="698">
      <c r="B698" s="108"/>
      <c r="C698" s="108"/>
    </row>
    <row r="699">
      <c r="B699" s="108"/>
      <c r="C699" s="108"/>
    </row>
    <row r="700">
      <c r="B700" s="108"/>
      <c r="C700" s="108"/>
    </row>
    <row r="701">
      <c r="B701" s="108"/>
      <c r="C701" s="108"/>
    </row>
    <row r="702">
      <c r="B702" s="108"/>
      <c r="C702" s="108"/>
    </row>
    <row r="703">
      <c r="B703" s="108"/>
      <c r="C703" s="108"/>
    </row>
    <row r="704">
      <c r="B704" s="108"/>
      <c r="C704" s="108"/>
    </row>
    <row r="705">
      <c r="B705" s="108"/>
      <c r="C705" s="108"/>
    </row>
    <row r="706">
      <c r="B706" s="108"/>
      <c r="C706" s="108"/>
    </row>
    <row r="707">
      <c r="B707" s="108"/>
      <c r="C707" s="108"/>
    </row>
    <row r="708">
      <c r="B708" s="108"/>
      <c r="C708" s="108"/>
    </row>
    <row r="709">
      <c r="B709" s="108"/>
      <c r="C709" s="108"/>
    </row>
    <row r="710">
      <c r="B710" s="108"/>
      <c r="C710" s="108"/>
    </row>
    <row r="711">
      <c r="B711" s="108"/>
      <c r="C711" s="108"/>
    </row>
    <row r="712">
      <c r="B712" s="108"/>
      <c r="C712" s="108"/>
    </row>
    <row r="713">
      <c r="B713" s="108"/>
      <c r="C713" s="108"/>
    </row>
    <row r="714">
      <c r="B714" s="108"/>
      <c r="C714" s="108"/>
    </row>
    <row r="715">
      <c r="B715" s="108"/>
      <c r="C715" s="108"/>
    </row>
    <row r="716">
      <c r="B716" s="108"/>
      <c r="C716" s="108"/>
    </row>
    <row r="717">
      <c r="B717" s="108"/>
      <c r="C717" s="108"/>
    </row>
    <row r="718">
      <c r="B718" s="108"/>
      <c r="C718" s="108"/>
    </row>
    <row r="719">
      <c r="B719" s="108"/>
      <c r="C719" s="108"/>
    </row>
    <row r="720">
      <c r="B720" s="108"/>
      <c r="C720" s="108"/>
    </row>
    <row r="721">
      <c r="B721" s="108"/>
      <c r="C721" s="108"/>
    </row>
    <row r="722">
      <c r="B722" s="108"/>
      <c r="C722" s="108"/>
    </row>
    <row r="723">
      <c r="B723" s="108"/>
      <c r="C723" s="108"/>
    </row>
    <row r="724">
      <c r="B724" s="108"/>
      <c r="C724" s="108"/>
    </row>
    <row r="725">
      <c r="B725" s="108"/>
      <c r="C725" s="108"/>
    </row>
    <row r="726">
      <c r="B726" s="108"/>
      <c r="C726" s="108"/>
    </row>
    <row r="727">
      <c r="B727" s="108"/>
      <c r="C727" s="108"/>
    </row>
    <row r="728">
      <c r="B728" s="108"/>
      <c r="C728" s="108"/>
    </row>
    <row r="729">
      <c r="B729" s="108"/>
      <c r="C729" s="108"/>
    </row>
    <row r="730">
      <c r="B730" s="108"/>
      <c r="C730" s="108"/>
    </row>
    <row r="731">
      <c r="B731" s="108"/>
      <c r="C731" s="108"/>
    </row>
    <row r="732">
      <c r="B732" s="108"/>
      <c r="C732" s="108"/>
    </row>
    <row r="733">
      <c r="B733" s="108"/>
      <c r="C733" s="108"/>
    </row>
    <row r="734">
      <c r="B734" s="108"/>
      <c r="C734" s="108"/>
    </row>
    <row r="735">
      <c r="B735" s="108"/>
      <c r="C735" s="108"/>
    </row>
    <row r="736">
      <c r="B736" s="108"/>
      <c r="C736" s="108"/>
    </row>
    <row r="737">
      <c r="B737" s="108"/>
      <c r="C737" s="108"/>
    </row>
    <row r="738">
      <c r="B738" s="108"/>
      <c r="C738" s="108"/>
    </row>
    <row r="739">
      <c r="B739" s="108"/>
      <c r="C739" s="108"/>
    </row>
    <row r="740">
      <c r="B740" s="108"/>
      <c r="C740" s="108"/>
    </row>
    <row r="741">
      <c r="B741" s="108"/>
      <c r="C741" s="108"/>
    </row>
    <row r="742">
      <c r="B742" s="108"/>
      <c r="C742" s="108"/>
    </row>
    <row r="743">
      <c r="B743" s="108"/>
      <c r="C743" s="108"/>
    </row>
    <row r="744">
      <c r="B744" s="108"/>
      <c r="C744" s="108"/>
    </row>
    <row r="745">
      <c r="B745" s="108"/>
      <c r="C745" s="108"/>
    </row>
    <row r="746">
      <c r="B746" s="108"/>
      <c r="C746" s="108"/>
    </row>
    <row r="747">
      <c r="B747" s="108"/>
      <c r="C747" s="108"/>
    </row>
    <row r="748">
      <c r="B748" s="108"/>
      <c r="C748" s="108"/>
    </row>
    <row r="749">
      <c r="B749" s="108"/>
      <c r="C749" s="108"/>
    </row>
    <row r="750">
      <c r="B750" s="108"/>
      <c r="C750" s="108"/>
    </row>
    <row r="751">
      <c r="B751" s="108"/>
      <c r="C751" s="108"/>
    </row>
    <row r="752">
      <c r="B752" s="108"/>
      <c r="C752" s="108"/>
    </row>
    <row r="753">
      <c r="B753" s="108"/>
      <c r="C753" s="108"/>
    </row>
    <row r="754">
      <c r="B754" s="108"/>
      <c r="C754" s="108"/>
    </row>
    <row r="755">
      <c r="B755" s="108"/>
      <c r="C755" s="108"/>
    </row>
    <row r="756">
      <c r="B756" s="108"/>
      <c r="C756" s="108"/>
    </row>
    <row r="757">
      <c r="B757" s="108"/>
      <c r="C757" s="108"/>
    </row>
    <row r="758">
      <c r="B758" s="108"/>
      <c r="C758" s="108"/>
    </row>
    <row r="759">
      <c r="B759" s="108"/>
      <c r="C759" s="108"/>
    </row>
    <row r="760">
      <c r="B760" s="108"/>
      <c r="C760" s="108"/>
    </row>
    <row r="761">
      <c r="B761" s="108"/>
      <c r="C761" s="108"/>
    </row>
    <row r="762">
      <c r="B762" s="108"/>
      <c r="C762" s="108"/>
    </row>
    <row r="763">
      <c r="B763" s="108"/>
      <c r="C763" s="108"/>
    </row>
    <row r="764">
      <c r="B764" s="108"/>
      <c r="C764" s="108"/>
    </row>
    <row r="765">
      <c r="B765" s="108"/>
      <c r="C765" s="108"/>
    </row>
    <row r="766">
      <c r="B766" s="108"/>
      <c r="C766" s="108"/>
    </row>
    <row r="767">
      <c r="B767" s="108"/>
      <c r="C767" s="108"/>
    </row>
    <row r="768">
      <c r="B768" s="108"/>
      <c r="C768" s="108"/>
    </row>
    <row r="769">
      <c r="B769" s="108"/>
      <c r="C769" s="108"/>
    </row>
    <row r="770">
      <c r="B770" s="108"/>
      <c r="C770" s="108"/>
    </row>
    <row r="771">
      <c r="B771" s="108"/>
      <c r="C771" s="108"/>
    </row>
    <row r="772">
      <c r="B772" s="108"/>
      <c r="C772" s="108"/>
    </row>
    <row r="773">
      <c r="B773" s="108"/>
      <c r="C773" s="108"/>
    </row>
    <row r="774">
      <c r="B774" s="108"/>
      <c r="C774" s="108"/>
    </row>
    <row r="775">
      <c r="B775" s="108"/>
      <c r="C775" s="108"/>
    </row>
    <row r="776">
      <c r="B776" s="108"/>
      <c r="C776" s="108"/>
    </row>
    <row r="777">
      <c r="B777" s="108"/>
      <c r="C777" s="108"/>
    </row>
    <row r="778">
      <c r="B778" s="108"/>
      <c r="C778" s="108"/>
    </row>
    <row r="779">
      <c r="B779" s="108"/>
      <c r="C779" s="108"/>
    </row>
    <row r="780">
      <c r="B780" s="108"/>
      <c r="C780" s="108"/>
    </row>
    <row r="781">
      <c r="B781" s="108"/>
      <c r="C781" s="108"/>
    </row>
    <row r="782">
      <c r="B782" s="108"/>
      <c r="C782" s="108"/>
    </row>
    <row r="783">
      <c r="B783" s="108"/>
      <c r="C783" s="108"/>
    </row>
    <row r="784">
      <c r="B784" s="108"/>
      <c r="C784" s="108"/>
    </row>
    <row r="785">
      <c r="B785" s="108"/>
      <c r="C785" s="108"/>
    </row>
    <row r="786">
      <c r="B786" s="108"/>
      <c r="C786" s="108"/>
    </row>
    <row r="787">
      <c r="B787" s="108"/>
      <c r="C787" s="108"/>
    </row>
    <row r="788">
      <c r="B788" s="108"/>
      <c r="C788" s="108"/>
    </row>
    <row r="789">
      <c r="B789" s="108"/>
      <c r="C789" s="108"/>
    </row>
    <row r="790">
      <c r="B790" s="108"/>
      <c r="C790" s="108"/>
    </row>
    <row r="791">
      <c r="B791" s="108"/>
      <c r="C791" s="108"/>
    </row>
    <row r="792">
      <c r="B792" s="108"/>
      <c r="C792" s="108"/>
    </row>
    <row r="793">
      <c r="B793" s="108"/>
      <c r="C793" s="108"/>
    </row>
    <row r="794">
      <c r="B794" s="108"/>
      <c r="C794" s="108"/>
    </row>
    <row r="795">
      <c r="B795" s="108"/>
      <c r="C795" s="108"/>
    </row>
    <row r="796">
      <c r="B796" s="108"/>
      <c r="C796" s="108"/>
    </row>
    <row r="797">
      <c r="B797" s="108"/>
      <c r="C797" s="108"/>
    </row>
    <row r="798">
      <c r="B798" s="108"/>
      <c r="C798" s="108"/>
    </row>
    <row r="799">
      <c r="B799" s="108"/>
      <c r="C799" s="108"/>
    </row>
    <row r="800">
      <c r="B800" s="108"/>
      <c r="C800" s="108"/>
    </row>
    <row r="801">
      <c r="B801" s="108"/>
      <c r="C801" s="108"/>
    </row>
    <row r="802">
      <c r="B802" s="108"/>
      <c r="C802" s="108"/>
    </row>
    <row r="803">
      <c r="B803" s="108"/>
      <c r="C803" s="108"/>
    </row>
    <row r="804">
      <c r="B804" s="108"/>
      <c r="C804" s="108"/>
    </row>
    <row r="805">
      <c r="B805" s="108"/>
      <c r="C805" s="108"/>
    </row>
    <row r="806">
      <c r="B806" s="108"/>
      <c r="C806" s="108"/>
    </row>
    <row r="807">
      <c r="B807" s="108"/>
      <c r="C807" s="108"/>
    </row>
    <row r="808">
      <c r="B808" s="108"/>
      <c r="C808" s="108"/>
    </row>
    <row r="809">
      <c r="B809" s="108"/>
      <c r="C809" s="108"/>
    </row>
    <row r="810">
      <c r="B810" s="108"/>
      <c r="C810" s="108"/>
    </row>
    <row r="811">
      <c r="B811" s="108"/>
      <c r="C811" s="108"/>
    </row>
    <row r="812">
      <c r="B812" s="108"/>
      <c r="C812" s="108"/>
    </row>
    <row r="813">
      <c r="B813" s="108"/>
      <c r="C813" s="108"/>
    </row>
    <row r="814">
      <c r="B814" s="108"/>
      <c r="C814" s="108"/>
    </row>
    <row r="815">
      <c r="B815" s="108"/>
      <c r="C815" s="108"/>
    </row>
    <row r="816">
      <c r="B816" s="108"/>
      <c r="C816" s="108"/>
    </row>
    <row r="817">
      <c r="B817" s="108"/>
      <c r="C817" s="108"/>
    </row>
    <row r="818">
      <c r="B818" s="108"/>
      <c r="C818" s="108"/>
    </row>
    <row r="819">
      <c r="B819" s="108"/>
      <c r="C819" s="108"/>
    </row>
    <row r="820">
      <c r="B820" s="108"/>
      <c r="C820" s="108"/>
    </row>
    <row r="821">
      <c r="B821" s="108"/>
      <c r="C821" s="108"/>
    </row>
    <row r="822">
      <c r="B822" s="108"/>
      <c r="C822" s="108"/>
    </row>
    <row r="823">
      <c r="B823" s="108"/>
      <c r="C823" s="108"/>
    </row>
    <row r="824">
      <c r="B824" s="108"/>
      <c r="C824" s="108"/>
    </row>
    <row r="825">
      <c r="B825" s="108"/>
      <c r="C825" s="108"/>
    </row>
    <row r="826">
      <c r="B826" s="108"/>
      <c r="C826" s="108"/>
    </row>
    <row r="827">
      <c r="B827" s="108"/>
      <c r="C827" s="108"/>
    </row>
    <row r="828">
      <c r="B828" s="108"/>
      <c r="C828" s="108"/>
    </row>
    <row r="829">
      <c r="B829" s="108"/>
      <c r="C829" s="108"/>
    </row>
    <row r="830">
      <c r="B830" s="108"/>
      <c r="C830" s="108"/>
    </row>
    <row r="831">
      <c r="B831" s="108"/>
      <c r="C831" s="108"/>
    </row>
    <row r="832">
      <c r="B832" s="108"/>
      <c r="C832" s="108"/>
    </row>
    <row r="833">
      <c r="B833" s="108"/>
      <c r="C833" s="108"/>
    </row>
    <row r="834">
      <c r="B834" s="108"/>
      <c r="C834" s="108"/>
    </row>
    <row r="835">
      <c r="B835" s="108"/>
      <c r="C835" s="108"/>
    </row>
    <row r="836">
      <c r="B836" s="108"/>
      <c r="C836" s="108"/>
    </row>
    <row r="837">
      <c r="B837" s="108"/>
      <c r="C837" s="108"/>
    </row>
    <row r="838">
      <c r="B838" s="108"/>
      <c r="C838" s="108"/>
    </row>
    <row r="839">
      <c r="B839" s="108"/>
      <c r="C839" s="108"/>
    </row>
    <row r="840">
      <c r="B840" s="108"/>
      <c r="C840" s="108"/>
    </row>
    <row r="841">
      <c r="B841" s="108"/>
      <c r="C841" s="108"/>
    </row>
    <row r="842">
      <c r="B842" s="108"/>
      <c r="C842" s="108"/>
    </row>
    <row r="843">
      <c r="B843" s="108"/>
      <c r="C843" s="108"/>
    </row>
    <row r="844">
      <c r="B844" s="108"/>
      <c r="C844" s="108"/>
    </row>
    <row r="845">
      <c r="B845" s="108"/>
      <c r="C845" s="108"/>
    </row>
    <row r="846">
      <c r="B846" s="108"/>
      <c r="C846" s="108"/>
    </row>
    <row r="847">
      <c r="B847" s="108"/>
      <c r="C847" s="108"/>
    </row>
    <row r="848">
      <c r="B848" s="108"/>
      <c r="C848" s="108"/>
    </row>
    <row r="849">
      <c r="B849" s="108"/>
      <c r="C849" s="108"/>
    </row>
    <row r="850">
      <c r="B850" s="108"/>
      <c r="C850" s="108"/>
    </row>
    <row r="851">
      <c r="B851" s="108"/>
      <c r="C851" s="108"/>
    </row>
    <row r="852">
      <c r="B852" s="108"/>
      <c r="C852" s="108"/>
    </row>
    <row r="853">
      <c r="B853" s="108"/>
      <c r="C853" s="108"/>
    </row>
    <row r="854">
      <c r="B854" s="108"/>
      <c r="C854" s="108"/>
    </row>
    <row r="855">
      <c r="B855" s="108"/>
      <c r="C855" s="108"/>
    </row>
    <row r="856">
      <c r="B856" s="108"/>
      <c r="C856" s="108"/>
    </row>
    <row r="857">
      <c r="B857" s="108"/>
      <c r="C857" s="108"/>
    </row>
    <row r="858">
      <c r="B858" s="108"/>
      <c r="C858" s="108"/>
    </row>
    <row r="859">
      <c r="B859" s="108"/>
      <c r="C859" s="108"/>
    </row>
    <row r="860">
      <c r="B860" s="108"/>
      <c r="C860" s="108"/>
    </row>
    <row r="861">
      <c r="B861" s="108"/>
      <c r="C861" s="108"/>
    </row>
    <row r="862">
      <c r="B862" s="108"/>
      <c r="C862" s="108"/>
    </row>
    <row r="863">
      <c r="B863" s="108"/>
      <c r="C863" s="108"/>
    </row>
    <row r="864">
      <c r="B864" s="108"/>
      <c r="C864" s="108"/>
    </row>
    <row r="865">
      <c r="B865" s="108"/>
      <c r="C865" s="108"/>
    </row>
    <row r="866">
      <c r="B866" s="108"/>
      <c r="C866" s="108"/>
    </row>
    <row r="867">
      <c r="B867" s="108"/>
      <c r="C867" s="108"/>
    </row>
    <row r="868">
      <c r="B868" s="108"/>
      <c r="C868" s="108"/>
    </row>
    <row r="869">
      <c r="B869" s="108"/>
      <c r="C869" s="108"/>
    </row>
    <row r="870">
      <c r="B870" s="108"/>
      <c r="C870" s="108"/>
    </row>
    <row r="871">
      <c r="B871" s="108"/>
      <c r="C871" s="108"/>
    </row>
    <row r="872">
      <c r="B872" s="108"/>
      <c r="C872" s="108"/>
    </row>
    <row r="873">
      <c r="B873" s="108"/>
      <c r="C873" s="108"/>
    </row>
    <row r="874">
      <c r="B874" s="108"/>
      <c r="C874" s="108"/>
    </row>
    <row r="875">
      <c r="B875" s="108"/>
      <c r="C875" s="108"/>
    </row>
    <row r="876">
      <c r="B876" s="108"/>
      <c r="C876" s="108"/>
    </row>
    <row r="877">
      <c r="B877" s="108"/>
      <c r="C877" s="108"/>
    </row>
    <row r="878">
      <c r="B878" s="108"/>
      <c r="C878" s="108"/>
    </row>
    <row r="879">
      <c r="B879" s="108"/>
      <c r="C879" s="108"/>
    </row>
    <row r="880">
      <c r="B880" s="108"/>
      <c r="C880" s="108"/>
    </row>
    <row r="881">
      <c r="B881" s="108"/>
      <c r="C881" s="108"/>
    </row>
    <row r="882">
      <c r="B882" s="108"/>
      <c r="C882" s="108"/>
    </row>
    <row r="883">
      <c r="B883" s="108"/>
      <c r="C883" s="108"/>
    </row>
    <row r="884">
      <c r="B884" s="108"/>
      <c r="C884" s="108"/>
    </row>
    <row r="885">
      <c r="B885" s="108"/>
      <c r="C885" s="108"/>
    </row>
    <row r="886">
      <c r="B886" s="108"/>
      <c r="C886" s="108"/>
    </row>
    <row r="887">
      <c r="B887" s="108"/>
      <c r="C887" s="108"/>
    </row>
    <row r="888">
      <c r="B888" s="108"/>
      <c r="C888" s="108"/>
    </row>
    <row r="889">
      <c r="B889" s="108"/>
      <c r="C889" s="108"/>
    </row>
    <row r="890">
      <c r="B890" s="108"/>
      <c r="C890" s="108"/>
    </row>
    <row r="891">
      <c r="B891" s="108"/>
      <c r="C891" s="108"/>
    </row>
    <row r="892">
      <c r="B892" s="108"/>
      <c r="C892" s="108"/>
    </row>
    <row r="893">
      <c r="B893" s="108"/>
      <c r="C893" s="108"/>
    </row>
    <row r="894">
      <c r="B894" s="108"/>
      <c r="C894" s="108"/>
    </row>
    <row r="895">
      <c r="B895" s="108"/>
      <c r="C895" s="108"/>
    </row>
    <row r="896">
      <c r="B896" s="108"/>
      <c r="C896" s="108"/>
    </row>
    <row r="897">
      <c r="B897" s="108"/>
      <c r="C897" s="108"/>
    </row>
    <row r="898">
      <c r="B898" s="108"/>
      <c r="C898" s="108"/>
    </row>
    <row r="899">
      <c r="B899" s="108"/>
      <c r="C899" s="108"/>
    </row>
    <row r="900">
      <c r="B900" s="108"/>
      <c r="C900" s="108"/>
    </row>
    <row r="901">
      <c r="B901" s="108"/>
      <c r="C901" s="108"/>
    </row>
    <row r="902">
      <c r="B902" s="108"/>
      <c r="C902" s="108"/>
    </row>
    <row r="903">
      <c r="B903" s="108"/>
      <c r="C903" s="108"/>
    </row>
    <row r="904">
      <c r="B904" s="108"/>
      <c r="C904" s="108"/>
    </row>
    <row r="905">
      <c r="B905" s="108"/>
      <c r="C905" s="108"/>
    </row>
    <row r="906">
      <c r="B906" s="108"/>
      <c r="C906" s="108"/>
    </row>
    <row r="907">
      <c r="B907" s="108"/>
      <c r="C907" s="108"/>
    </row>
    <row r="908">
      <c r="B908" s="108"/>
      <c r="C908" s="108"/>
    </row>
    <row r="909">
      <c r="B909" s="108"/>
      <c r="C909" s="108"/>
    </row>
    <row r="910">
      <c r="B910" s="108"/>
      <c r="C910" s="108"/>
    </row>
    <row r="911">
      <c r="B911" s="108"/>
      <c r="C911" s="108"/>
    </row>
    <row r="912">
      <c r="B912" s="108"/>
      <c r="C912" s="108"/>
    </row>
    <row r="913">
      <c r="B913" s="108"/>
      <c r="C913" s="108"/>
    </row>
    <row r="914">
      <c r="B914" s="108"/>
      <c r="C914" s="108"/>
    </row>
    <row r="915">
      <c r="B915" s="108"/>
      <c r="C915" s="108"/>
    </row>
    <row r="916">
      <c r="B916" s="108"/>
      <c r="C916" s="108"/>
    </row>
    <row r="917">
      <c r="B917" s="108"/>
      <c r="C917" s="108"/>
    </row>
    <row r="918">
      <c r="B918" s="108"/>
      <c r="C918" s="108"/>
    </row>
    <row r="919">
      <c r="B919" s="108"/>
      <c r="C919" s="108"/>
    </row>
    <row r="920">
      <c r="B920" s="108"/>
      <c r="C920" s="108"/>
    </row>
    <row r="921">
      <c r="B921" s="108"/>
      <c r="C921" s="108"/>
    </row>
    <row r="922">
      <c r="B922" s="108"/>
      <c r="C922" s="108"/>
    </row>
    <row r="923">
      <c r="B923" s="108"/>
      <c r="C923" s="108"/>
    </row>
    <row r="924">
      <c r="B924" s="108"/>
      <c r="C924" s="108"/>
    </row>
    <row r="925">
      <c r="B925" s="108"/>
      <c r="C925" s="108"/>
    </row>
    <row r="926">
      <c r="B926" s="108"/>
      <c r="C926" s="108"/>
    </row>
    <row r="927">
      <c r="B927" s="108"/>
      <c r="C927" s="108"/>
    </row>
    <row r="928">
      <c r="B928" s="108"/>
      <c r="C928" s="108"/>
    </row>
    <row r="929">
      <c r="B929" s="108"/>
      <c r="C929" s="108"/>
    </row>
    <row r="930">
      <c r="B930" s="108"/>
      <c r="C930" s="108"/>
    </row>
    <row r="931">
      <c r="B931" s="108"/>
      <c r="C931" s="108"/>
    </row>
    <row r="932">
      <c r="B932" s="108"/>
      <c r="C932" s="108"/>
    </row>
    <row r="933">
      <c r="B933" s="108"/>
      <c r="C933" s="108"/>
    </row>
    <row r="934">
      <c r="B934" s="108"/>
      <c r="C934" s="108"/>
    </row>
    <row r="935">
      <c r="B935" s="108"/>
      <c r="C935" s="108"/>
    </row>
    <row r="936">
      <c r="B936" s="108"/>
      <c r="C936" s="108"/>
    </row>
    <row r="937">
      <c r="B937" s="108"/>
      <c r="C937" s="108"/>
    </row>
    <row r="938">
      <c r="B938" s="108"/>
      <c r="C938" s="108"/>
    </row>
    <row r="939">
      <c r="B939" s="108"/>
      <c r="C939" s="108"/>
    </row>
    <row r="940">
      <c r="B940" s="108"/>
      <c r="C940" s="108"/>
    </row>
    <row r="941">
      <c r="B941" s="108"/>
      <c r="C941" s="108"/>
    </row>
    <row r="942">
      <c r="B942" s="108"/>
      <c r="C942" s="108"/>
    </row>
    <row r="943">
      <c r="B943" s="108"/>
      <c r="C943" s="108"/>
    </row>
    <row r="944">
      <c r="B944" s="108"/>
      <c r="C944" s="108"/>
    </row>
    <row r="945">
      <c r="B945" s="108"/>
      <c r="C945" s="108"/>
    </row>
    <row r="946">
      <c r="B946" s="108"/>
      <c r="C946" s="108"/>
    </row>
    <row r="947">
      <c r="B947" s="108"/>
      <c r="C947" s="108"/>
    </row>
    <row r="948">
      <c r="B948" s="108"/>
      <c r="C948" s="108"/>
    </row>
    <row r="949">
      <c r="B949" s="108"/>
      <c r="C949" s="108"/>
    </row>
    <row r="950">
      <c r="B950" s="108"/>
      <c r="C950" s="108"/>
    </row>
    <row r="951">
      <c r="B951" s="108"/>
      <c r="C951" s="108"/>
    </row>
    <row r="952">
      <c r="B952" s="108"/>
      <c r="C952" s="108"/>
    </row>
    <row r="953">
      <c r="B953" s="108"/>
      <c r="C953" s="108"/>
    </row>
    <row r="954">
      <c r="B954" s="108"/>
      <c r="C954" s="108"/>
    </row>
    <row r="955">
      <c r="B955" s="108"/>
      <c r="C955" s="108"/>
    </row>
    <row r="956">
      <c r="B956" s="108"/>
      <c r="C956" s="108"/>
    </row>
    <row r="957">
      <c r="B957" s="108"/>
      <c r="C957" s="108"/>
    </row>
    <row r="958">
      <c r="B958" s="108"/>
      <c r="C958" s="108"/>
    </row>
    <row r="959">
      <c r="B959" s="108"/>
      <c r="C959" s="108"/>
    </row>
    <row r="960">
      <c r="B960" s="108"/>
      <c r="C960" s="108"/>
    </row>
    <row r="961">
      <c r="B961" s="108"/>
      <c r="C961" s="108"/>
    </row>
    <row r="962">
      <c r="B962" s="108"/>
      <c r="C962" s="108"/>
    </row>
    <row r="963">
      <c r="B963" s="108"/>
      <c r="C963" s="108"/>
    </row>
    <row r="964">
      <c r="B964" s="108"/>
      <c r="C964" s="108"/>
    </row>
    <row r="965">
      <c r="B965" s="108"/>
      <c r="C965" s="108"/>
    </row>
    <row r="966">
      <c r="B966" s="108"/>
      <c r="C966" s="108"/>
    </row>
    <row r="967">
      <c r="B967" s="108"/>
      <c r="C967" s="108"/>
    </row>
    <row r="968">
      <c r="B968" s="108"/>
      <c r="C968" s="108"/>
    </row>
    <row r="969">
      <c r="B969" s="108"/>
      <c r="C969" s="108"/>
    </row>
    <row r="970">
      <c r="B970" s="108"/>
      <c r="C970" s="108"/>
    </row>
    <row r="971">
      <c r="B971" s="108"/>
      <c r="C971" s="108"/>
    </row>
    <row r="972">
      <c r="B972" s="108"/>
      <c r="C972" s="108"/>
    </row>
    <row r="973">
      <c r="B973" s="108"/>
      <c r="C973" s="108"/>
    </row>
    <row r="974">
      <c r="B974" s="108"/>
      <c r="C974" s="108"/>
    </row>
    <row r="975">
      <c r="B975" s="108"/>
      <c r="C975" s="108"/>
    </row>
    <row r="976">
      <c r="B976" s="108"/>
      <c r="C976" s="108"/>
    </row>
    <row r="977">
      <c r="B977" s="108"/>
      <c r="C977" s="108"/>
    </row>
    <row r="978">
      <c r="B978" s="108"/>
      <c r="C978" s="108"/>
    </row>
    <row r="979">
      <c r="B979" s="108"/>
      <c r="C979" s="108"/>
    </row>
    <row r="980">
      <c r="B980" s="108"/>
      <c r="C980" s="108"/>
    </row>
    <row r="981">
      <c r="B981" s="108"/>
      <c r="C981" s="108"/>
    </row>
    <row r="982">
      <c r="B982" s="108"/>
      <c r="C982" s="108"/>
    </row>
    <row r="983">
      <c r="B983" s="108"/>
      <c r="C983" s="108"/>
    </row>
    <row r="984">
      <c r="B984" s="108"/>
      <c r="C984" s="108"/>
    </row>
    <row r="985">
      <c r="B985" s="108"/>
      <c r="C985" s="108"/>
    </row>
    <row r="986">
      <c r="B986" s="108"/>
      <c r="C986" s="108"/>
    </row>
    <row r="987">
      <c r="B987" s="108"/>
      <c r="C987" s="108"/>
    </row>
    <row r="988">
      <c r="B988" s="108"/>
      <c r="C988" s="108"/>
    </row>
    <row r="989">
      <c r="B989" s="108"/>
      <c r="C989" s="108"/>
    </row>
    <row r="990">
      <c r="B990" s="108"/>
      <c r="C990" s="108"/>
    </row>
    <row r="991">
      <c r="B991" s="108"/>
      <c r="C991" s="108"/>
    </row>
    <row r="992">
      <c r="B992" s="108"/>
      <c r="C992" s="108"/>
    </row>
    <row r="993">
      <c r="B993" s="108"/>
      <c r="C993" s="108"/>
    </row>
    <row r="994">
      <c r="B994" s="108"/>
      <c r="C994" s="108"/>
    </row>
    <row r="995">
      <c r="B995" s="108"/>
      <c r="C995" s="108"/>
    </row>
    <row r="996">
      <c r="B996" s="108"/>
      <c r="C996" s="108"/>
    </row>
    <row r="997">
      <c r="B997" s="108"/>
      <c r="C997" s="108"/>
    </row>
    <row r="998">
      <c r="B998" s="108"/>
      <c r="C998" s="108"/>
    </row>
    <row r="999">
      <c r="B999" s="108"/>
      <c r="C999" s="108"/>
    </row>
    <row r="1000">
      <c r="B1000" s="108"/>
      <c r="C1000" s="108"/>
    </row>
  </sheetData>
  <drawing r:id="rId1"/>
</worksheet>
</file>